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생산지원팀\3. 개인폴더\3. 박재현\1. 송도공장\1.예산\26년도 예산\"/>
    </mc:Choice>
  </mc:AlternateContent>
  <xr:revisionPtr revIDLastSave="0" documentId="13_ncr:1_{241AC4C4-7A3F-4EA6-A460-A3A1A1E927D6}" xr6:coauthVersionLast="36" xr6:coauthVersionMax="36" xr10:uidLastSave="{00000000-0000-0000-0000-000000000000}"/>
  <bookViews>
    <workbookView xWindow="0" yWindow="0" windowWidth="28800" windowHeight="10080" activeTab="2" xr2:uid="{13969A9B-7AB8-470A-9D3C-7AF6CB88BFCF}"/>
  </bookViews>
  <sheets>
    <sheet name="SM_SMF" sheetId="33" r:id="rId1"/>
    <sheet name="SM_SAO" sheetId="34" r:id="rId2"/>
    <sheet name="SM_SVO" sheetId="35" r:id="rId3"/>
    <sheet name="SM_SDO" sheetId="36" r:id="rId4"/>
    <sheet name="SM_SHO" sheetId="37" r:id="rId5"/>
    <sheet name="SM_QSF" sheetId="38" r:id="rId6"/>
    <sheet name="SM_SQA" sheetId="3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4" i="39" l="1"/>
  <c r="D153" i="39"/>
  <c r="D152" i="39"/>
  <c r="P151" i="39"/>
  <c r="O151" i="39"/>
  <c r="N151" i="39"/>
  <c r="M151" i="39"/>
  <c r="L151" i="39"/>
  <c r="K151" i="39"/>
  <c r="J151" i="39"/>
  <c r="I151" i="39"/>
  <c r="H151" i="39"/>
  <c r="G151" i="39"/>
  <c r="F151" i="39"/>
  <c r="E151" i="39"/>
  <c r="D150" i="39"/>
  <c r="D149" i="39"/>
  <c r="D148" i="39"/>
  <c r="D147" i="39"/>
  <c r="P146" i="39"/>
  <c r="O146" i="39"/>
  <c r="N146" i="39"/>
  <c r="M146" i="39"/>
  <c r="L146" i="39"/>
  <c r="K146" i="39"/>
  <c r="J146" i="39"/>
  <c r="I146" i="39"/>
  <c r="H146" i="39"/>
  <c r="G146" i="39"/>
  <c r="F146" i="39"/>
  <c r="E146" i="39"/>
  <c r="D145" i="39"/>
  <c r="D144" i="39"/>
  <c r="D143" i="39"/>
  <c r="D142" i="39"/>
  <c r="P141" i="39"/>
  <c r="O141" i="39"/>
  <c r="N141" i="39"/>
  <c r="M141" i="39"/>
  <c r="L141" i="39"/>
  <c r="K141" i="39"/>
  <c r="J141" i="39"/>
  <c r="I141" i="39"/>
  <c r="H141" i="39"/>
  <c r="G141" i="39"/>
  <c r="F141" i="39"/>
  <c r="E141" i="39"/>
  <c r="D140" i="39"/>
  <c r="D139" i="39"/>
  <c r="D138" i="39"/>
  <c r="D137" i="39"/>
  <c r="P136" i="39"/>
  <c r="O136" i="39"/>
  <c r="N136" i="39"/>
  <c r="M136" i="39"/>
  <c r="L136" i="39"/>
  <c r="K136" i="39"/>
  <c r="J136" i="39"/>
  <c r="I136" i="39"/>
  <c r="H136" i="39"/>
  <c r="G136" i="39"/>
  <c r="F136" i="39"/>
  <c r="E136" i="39"/>
  <c r="D135" i="39"/>
  <c r="D134" i="39"/>
  <c r="D133" i="39"/>
  <c r="D132" i="39"/>
  <c r="D131" i="39"/>
  <c r="D130" i="39"/>
  <c r="D129" i="39"/>
  <c r="D128" i="39"/>
  <c r="P127" i="39"/>
  <c r="O127" i="39"/>
  <c r="N127" i="39"/>
  <c r="M127" i="39"/>
  <c r="L127" i="39"/>
  <c r="K127" i="39"/>
  <c r="J127" i="39"/>
  <c r="I127" i="39"/>
  <c r="H127" i="39"/>
  <c r="G127" i="39"/>
  <c r="F127" i="39"/>
  <c r="E127" i="39"/>
  <c r="D126" i="39"/>
  <c r="D125" i="39"/>
  <c r="P124" i="39"/>
  <c r="O124" i="39"/>
  <c r="N124" i="39"/>
  <c r="M124" i="39"/>
  <c r="L124" i="39"/>
  <c r="K124" i="39"/>
  <c r="J124" i="39"/>
  <c r="I124" i="39"/>
  <c r="H124" i="39"/>
  <c r="G124" i="39"/>
  <c r="F124" i="39"/>
  <c r="E124" i="39"/>
  <c r="D123" i="39"/>
  <c r="D122" i="39"/>
  <c r="D121" i="39"/>
  <c r="D120" i="39"/>
  <c r="D119" i="39"/>
  <c r="P118" i="39"/>
  <c r="O118" i="39"/>
  <c r="N118" i="39"/>
  <c r="M118" i="39"/>
  <c r="L118" i="39"/>
  <c r="K118" i="39"/>
  <c r="J118" i="39"/>
  <c r="I118" i="39"/>
  <c r="H118" i="39"/>
  <c r="G118" i="39"/>
  <c r="F118" i="39"/>
  <c r="E118" i="39"/>
  <c r="D117" i="39"/>
  <c r="D116" i="39" s="1"/>
  <c r="P116" i="39"/>
  <c r="O116" i="39"/>
  <c r="N116" i="39"/>
  <c r="M116" i="39"/>
  <c r="L116" i="39"/>
  <c r="K116" i="39"/>
  <c r="J116" i="39"/>
  <c r="I116" i="39"/>
  <c r="H116" i="39"/>
  <c r="G116" i="39"/>
  <c r="F116" i="39"/>
  <c r="E116" i="39"/>
  <c r="D115" i="39"/>
  <c r="D114" i="39"/>
  <c r="D113" i="39"/>
  <c r="D112" i="39"/>
  <c r="D111" i="39"/>
  <c r="D110" i="39"/>
  <c r="D109" i="39"/>
  <c r="P108" i="39"/>
  <c r="O108" i="39"/>
  <c r="N108" i="39"/>
  <c r="M108" i="39"/>
  <c r="L108" i="39"/>
  <c r="K108" i="39"/>
  <c r="J108" i="39"/>
  <c r="I108" i="39"/>
  <c r="H108" i="39"/>
  <c r="G108" i="39"/>
  <c r="F108" i="39"/>
  <c r="E108" i="39"/>
  <c r="D107" i="39"/>
  <c r="D106" i="39" s="1"/>
  <c r="P106" i="39"/>
  <c r="O106" i="39"/>
  <c r="N106" i="39"/>
  <c r="M106" i="39"/>
  <c r="L106" i="39"/>
  <c r="K106" i="39"/>
  <c r="J106" i="39"/>
  <c r="I106" i="39"/>
  <c r="H106" i="39"/>
  <c r="G106" i="39"/>
  <c r="F106" i="39"/>
  <c r="E106" i="39"/>
  <c r="D105" i="39"/>
  <c r="D104" i="39"/>
  <c r="D103" i="39"/>
  <c r="D102" i="39"/>
  <c r="D101" i="39"/>
  <c r="D100" i="39"/>
  <c r="D99" i="39"/>
  <c r="D98" i="39"/>
  <c r="D97" i="39"/>
  <c r="P96" i="39"/>
  <c r="O96" i="39"/>
  <c r="N96" i="39"/>
  <c r="M96" i="39"/>
  <c r="L96" i="39"/>
  <c r="K96" i="39"/>
  <c r="J96" i="39"/>
  <c r="I96" i="39"/>
  <c r="H96" i="39"/>
  <c r="G96" i="39"/>
  <c r="F96" i="39"/>
  <c r="E96" i="39"/>
  <c r="D95" i="39"/>
  <c r="D94" i="39"/>
  <c r="P93" i="39"/>
  <c r="O93" i="39"/>
  <c r="N93" i="39"/>
  <c r="M93" i="39"/>
  <c r="L93" i="39"/>
  <c r="K93" i="39"/>
  <c r="J93" i="39"/>
  <c r="I93" i="39"/>
  <c r="H93" i="39"/>
  <c r="G93" i="39"/>
  <c r="F93" i="39"/>
  <c r="E93" i="39"/>
  <c r="D92" i="39"/>
  <c r="D91" i="39"/>
  <c r="D90" i="39"/>
  <c r="D89" i="39"/>
  <c r="D88" i="39"/>
  <c r="D87" i="39"/>
  <c r="D86" i="39"/>
  <c r="P85" i="39"/>
  <c r="O85" i="39"/>
  <c r="N85" i="39"/>
  <c r="M85" i="39"/>
  <c r="L85" i="39"/>
  <c r="K85" i="39"/>
  <c r="J85" i="39"/>
  <c r="I85" i="39"/>
  <c r="H85" i="39"/>
  <c r="G85" i="39"/>
  <c r="F85" i="39"/>
  <c r="E85" i="39"/>
  <c r="D84" i="39"/>
  <c r="D83" i="39"/>
  <c r="D82" i="39"/>
  <c r="D81" i="39"/>
  <c r="D80" i="39"/>
  <c r="D79" i="39"/>
  <c r="P78" i="39"/>
  <c r="O78" i="39"/>
  <c r="N78" i="39"/>
  <c r="M78" i="39"/>
  <c r="L78" i="39"/>
  <c r="K78" i="39"/>
  <c r="J78" i="39"/>
  <c r="I78" i="39"/>
  <c r="H78" i="39"/>
  <c r="G78" i="39"/>
  <c r="F78" i="39"/>
  <c r="E78" i="39"/>
  <c r="D77" i="39"/>
  <c r="D76" i="39"/>
  <c r="D75" i="39"/>
  <c r="D74" i="39"/>
  <c r="D73" i="39"/>
  <c r="D72" i="39"/>
  <c r="D71" i="39"/>
  <c r="D70" i="39"/>
  <c r="D69" i="39"/>
  <c r="D68" i="39"/>
  <c r="D67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5" i="39"/>
  <c r="D64" i="39"/>
  <c r="D63" i="39"/>
  <c r="D62" i="39"/>
  <c r="D61" i="39"/>
  <c r="D60" i="39"/>
  <c r="D59" i="39"/>
  <c r="D58" i="39"/>
  <c r="P57" i="39"/>
  <c r="O57" i="39"/>
  <c r="N57" i="39"/>
  <c r="M57" i="39"/>
  <c r="L57" i="39"/>
  <c r="K57" i="39"/>
  <c r="J57" i="39"/>
  <c r="I57" i="39"/>
  <c r="H57" i="39"/>
  <c r="G57" i="39"/>
  <c r="F57" i="39"/>
  <c r="E57" i="39"/>
  <c r="D56" i="39"/>
  <c r="D55" i="39"/>
  <c r="D54" i="39"/>
  <c r="D53" i="39"/>
  <c r="D52" i="39"/>
  <c r="D51" i="39"/>
  <c r="D50" i="39"/>
  <c r="D49" i="39"/>
  <c r="D48" i="39"/>
  <c r="D47" i="39"/>
  <c r="P46" i="39"/>
  <c r="O46" i="39"/>
  <c r="N46" i="39"/>
  <c r="M46" i="39"/>
  <c r="L46" i="39"/>
  <c r="K46" i="39"/>
  <c r="J46" i="39"/>
  <c r="I46" i="39"/>
  <c r="H46" i="39"/>
  <c r="G46" i="39"/>
  <c r="F46" i="39"/>
  <c r="E46" i="39"/>
  <c r="D45" i="39"/>
  <c r="D44" i="39"/>
  <c r="D43" i="39"/>
  <c r="D42" i="39"/>
  <c r="D41" i="39"/>
  <c r="D40" i="39"/>
  <c r="D39" i="39"/>
  <c r="P38" i="39"/>
  <c r="O38" i="39"/>
  <c r="N38" i="39"/>
  <c r="M38" i="39"/>
  <c r="L38" i="39"/>
  <c r="K38" i="39"/>
  <c r="J38" i="39"/>
  <c r="I38" i="39"/>
  <c r="H38" i="39"/>
  <c r="G38" i="39"/>
  <c r="F38" i="39"/>
  <c r="E38" i="39"/>
  <c r="D37" i="39"/>
  <c r="D36" i="39"/>
  <c r="D35" i="39"/>
  <c r="D34" i="39"/>
  <c r="D33" i="39"/>
  <c r="D32" i="39"/>
  <c r="D31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29" i="39"/>
  <c r="D28" i="39"/>
  <c r="D27" i="39"/>
  <c r="D26" i="39"/>
  <c r="D25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3" i="39"/>
  <c r="D22" i="39"/>
  <c r="F21" i="39"/>
  <c r="G21" i="39" s="1"/>
  <c r="H21" i="39" s="1"/>
  <c r="I21" i="39" s="1"/>
  <c r="J21" i="39" s="1"/>
  <c r="K21" i="39" s="1"/>
  <c r="D20" i="39"/>
  <c r="D19" i="39"/>
  <c r="D18" i="39"/>
  <c r="D17" i="39"/>
  <c r="D16" i="39"/>
  <c r="D15" i="39"/>
  <c r="D14" i="39"/>
  <c r="D13" i="39"/>
  <c r="E5" i="39"/>
  <c r="D11" i="39"/>
  <c r="D10" i="39"/>
  <c r="D9" i="39"/>
  <c r="D8" i="39"/>
  <c r="D7" i="39"/>
  <c r="D6" i="39"/>
  <c r="D154" i="38"/>
  <c r="D153" i="38"/>
  <c r="D152" i="38"/>
  <c r="P151" i="38"/>
  <c r="O151" i="38"/>
  <c r="N151" i="38"/>
  <c r="M151" i="38"/>
  <c r="L151" i="38"/>
  <c r="K151" i="38"/>
  <c r="J151" i="38"/>
  <c r="I151" i="38"/>
  <c r="H151" i="38"/>
  <c r="G151" i="38"/>
  <c r="F151" i="38"/>
  <c r="E151" i="38"/>
  <c r="D150" i="38"/>
  <c r="D149" i="38"/>
  <c r="D148" i="38"/>
  <c r="D147" i="38"/>
  <c r="P146" i="38"/>
  <c r="O146" i="38"/>
  <c r="N146" i="38"/>
  <c r="M146" i="38"/>
  <c r="L146" i="38"/>
  <c r="K146" i="38"/>
  <c r="J146" i="38"/>
  <c r="I146" i="38"/>
  <c r="H146" i="38"/>
  <c r="G146" i="38"/>
  <c r="F146" i="38"/>
  <c r="E146" i="38"/>
  <c r="D145" i="38"/>
  <c r="D144" i="38"/>
  <c r="D143" i="38"/>
  <c r="D142" i="38"/>
  <c r="P141" i="38"/>
  <c r="O141" i="38"/>
  <c r="N141" i="38"/>
  <c r="M141" i="38"/>
  <c r="L141" i="38"/>
  <c r="K141" i="38"/>
  <c r="J141" i="38"/>
  <c r="I141" i="38"/>
  <c r="H141" i="38"/>
  <c r="G141" i="38"/>
  <c r="F141" i="38"/>
  <c r="E141" i="38"/>
  <c r="D140" i="38"/>
  <c r="D139" i="38"/>
  <c r="D138" i="38"/>
  <c r="D137" i="38"/>
  <c r="P136" i="38"/>
  <c r="O136" i="38"/>
  <c r="N136" i="38"/>
  <c r="M136" i="38"/>
  <c r="L136" i="38"/>
  <c r="K136" i="38"/>
  <c r="J136" i="38"/>
  <c r="I136" i="38"/>
  <c r="H136" i="38"/>
  <c r="G136" i="38"/>
  <c r="F136" i="38"/>
  <c r="E136" i="38"/>
  <c r="D135" i="38"/>
  <c r="D134" i="38"/>
  <c r="D133" i="38"/>
  <c r="D132" i="38"/>
  <c r="D131" i="38"/>
  <c r="D130" i="38"/>
  <c r="D129" i="38"/>
  <c r="D128" i="38"/>
  <c r="P127" i="38"/>
  <c r="O127" i="38"/>
  <c r="N127" i="38"/>
  <c r="M127" i="38"/>
  <c r="L127" i="38"/>
  <c r="K127" i="38"/>
  <c r="J127" i="38"/>
  <c r="I127" i="38"/>
  <c r="H127" i="38"/>
  <c r="G127" i="38"/>
  <c r="F127" i="38"/>
  <c r="E127" i="38"/>
  <c r="D126" i="38"/>
  <c r="D125" i="38"/>
  <c r="P124" i="38"/>
  <c r="O124" i="38"/>
  <c r="N124" i="38"/>
  <c r="M124" i="38"/>
  <c r="L124" i="38"/>
  <c r="K124" i="38"/>
  <c r="J124" i="38"/>
  <c r="I124" i="38"/>
  <c r="H124" i="38"/>
  <c r="G124" i="38"/>
  <c r="F124" i="38"/>
  <c r="E124" i="38"/>
  <c r="D123" i="38"/>
  <c r="D122" i="38"/>
  <c r="D121" i="38"/>
  <c r="D120" i="38"/>
  <c r="D119" i="38"/>
  <c r="P118" i="38"/>
  <c r="O118" i="38"/>
  <c r="N118" i="38"/>
  <c r="M118" i="38"/>
  <c r="L118" i="38"/>
  <c r="K118" i="38"/>
  <c r="J118" i="38"/>
  <c r="I118" i="38"/>
  <c r="H118" i="38"/>
  <c r="G118" i="38"/>
  <c r="F118" i="38"/>
  <c r="E118" i="38"/>
  <c r="D117" i="38"/>
  <c r="D116" i="38" s="1"/>
  <c r="P116" i="38"/>
  <c r="O116" i="38"/>
  <c r="N116" i="38"/>
  <c r="M116" i="38"/>
  <c r="L116" i="38"/>
  <c r="K116" i="38"/>
  <c r="J116" i="38"/>
  <c r="I116" i="38"/>
  <c r="H116" i="38"/>
  <c r="G116" i="38"/>
  <c r="F116" i="38"/>
  <c r="E116" i="38"/>
  <c r="D115" i="38"/>
  <c r="D114" i="38"/>
  <c r="D113" i="38"/>
  <c r="D112" i="38"/>
  <c r="D111" i="38"/>
  <c r="D110" i="38"/>
  <c r="D109" i="38"/>
  <c r="P108" i="38"/>
  <c r="O108" i="38"/>
  <c r="N108" i="38"/>
  <c r="M108" i="38"/>
  <c r="L108" i="38"/>
  <c r="K108" i="38"/>
  <c r="J108" i="38"/>
  <c r="I108" i="38"/>
  <c r="H108" i="38"/>
  <c r="G108" i="38"/>
  <c r="F108" i="38"/>
  <c r="E108" i="38"/>
  <c r="D107" i="38"/>
  <c r="P106" i="38"/>
  <c r="O106" i="38"/>
  <c r="N106" i="38"/>
  <c r="M106" i="38"/>
  <c r="L106" i="38"/>
  <c r="K106" i="38"/>
  <c r="J106" i="38"/>
  <c r="I106" i="38"/>
  <c r="H106" i="38"/>
  <c r="G106" i="38"/>
  <c r="F106" i="38"/>
  <c r="E106" i="38"/>
  <c r="D105" i="38"/>
  <c r="D104" i="38"/>
  <c r="D103" i="38"/>
  <c r="D102" i="38"/>
  <c r="D101" i="38"/>
  <c r="D100" i="38"/>
  <c r="D99" i="38"/>
  <c r="D98" i="38"/>
  <c r="D97" i="38"/>
  <c r="P96" i="38"/>
  <c r="O96" i="38"/>
  <c r="N96" i="38"/>
  <c r="M96" i="38"/>
  <c r="L96" i="38"/>
  <c r="K96" i="38"/>
  <c r="J96" i="38"/>
  <c r="I96" i="38"/>
  <c r="H96" i="38"/>
  <c r="G96" i="38"/>
  <c r="F96" i="38"/>
  <c r="E96" i="38"/>
  <c r="D95" i="38"/>
  <c r="D94" i="38"/>
  <c r="P93" i="38"/>
  <c r="O93" i="38"/>
  <c r="N93" i="38"/>
  <c r="M93" i="38"/>
  <c r="L93" i="38"/>
  <c r="K93" i="38"/>
  <c r="J93" i="38"/>
  <c r="I93" i="38"/>
  <c r="H93" i="38"/>
  <c r="G93" i="38"/>
  <c r="F93" i="38"/>
  <c r="E93" i="38"/>
  <c r="D92" i="38"/>
  <c r="D91" i="38"/>
  <c r="D90" i="38"/>
  <c r="D89" i="38"/>
  <c r="D88" i="38"/>
  <c r="D87" i="38"/>
  <c r="D86" i="38"/>
  <c r="P85" i="38"/>
  <c r="O85" i="38"/>
  <c r="N85" i="38"/>
  <c r="M85" i="38"/>
  <c r="L85" i="38"/>
  <c r="K85" i="38"/>
  <c r="J85" i="38"/>
  <c r="I85" i="38"/>
  <c r="H85" i="38"/>
  <c r="G85" i="38"/>
  <c r="F85" i="38"/>
  <c r="E85" i="38"/>
  <c r="D84" i="38"/>
  <c r="D83" i="38"/>
  <c r="N82" i="38"/>
  <c r="N78" i="38" s="1"/>
  <c r="K82" i="38"/>
  <c r="K78" i="38" s="1"/>
  <c r="H82" i="38"/>
  <c r="H78" i="38" s="1"/>
  <c r="E82" i="38"/>
  <c r="E78" i="38" s="1"/>
  <c r="D81" i="38"/>
  <c r="D80" i="38"/>
  <c r="D79" i="38"/>
  <c r="P78" i="38"/>
  <c r="O78" i="38"/>
  <c r="M78" i="38"/>
  <c r="L78" i="38"/>
  <c r="J78" i="38"/>
  <c r="I78" i="38"/>
  <c r="G78" i="38"/>
  <c r="F78" i="38"/>
  <c r="D77" i="38"/>
  <c r="D76" i="38"/>
  <c r="D75" i="38"/>
  <c r="D74" i="38"/>
  <c r="D73" i="38"/>
  <c r="D72" i="38"/>
  <c r="D71" i="38"/>
  <c r="F70" i="38"/>
  <c r="G70" i="38" s="1"/>
  <c r="D68" i="38"/>
  <c r="D67" i="38"/>
  <c r="D65" i="38"/>
  <c r="D64" i="38"/>
  <c r="D63" i="38"/>
  <c r="D62" i="38"/>
  <c r="D61" i="38"/>
  <c r="D60" i="38"/>
  <c r="D59" i="38"/>
  <c r="D58" i="38"/>
  <c r="P57" i="38"/>
  <c r="O57" i="38"/>
  <c r="N57" i="38"/>
  <c r="M57" i="38"/>
  <c r="L57" i="38"/>
  <c r="K57" i="38"/>
  <c r="J57" i="38"/>
  <c r="I57" i="38"/>
  <c r="H57" i="38"/>
  <c r="G57" i="38"/>
  <c r="F57" i="38"/>
  <c r="E57" i="38"/>
  <c r="D56" i="38"/>
  <c r="D55" i="38"/>
  <c r="D54" i="38"/>
  <c r="D53" i="38"/>
  <c r="D52" i="38"/>
  <c r="D51" i="38"/>
  <c r="D50" i="38"/>
  <c r="D49" i="38"/>
  <c r="D48" i="38"/>
  <c r="D47" i="38"/>
  <c r="P46" i="38"/>
  <c r="O46" i="38"/>
  <c r="N46" i="38"/>
  <c r="M46" i="38"/>
  <c r="L46" i="38"/>
  <c r="K46" i="38"/>
  <c r="J46" i="38"/>
  <c r="I46" i="38"/>
  <c r="H46" i="38"/>
  <c r="G46" i="38"/>
  <c r="F46" i="38"/>
  <c r="E46" i="38"/>
  <c r="D45" i="38"/>
  <c r="D44" i="38"/>
  <c r="D43" i="38"/>
  <c r="D42" i="38"/>
  <c r="D41" i="38"/>
  <c r="D40" i="38"/>
  <c r="D39" i="38"/>
  <c r="P38" i="38"/>
  <c r="O38" i="38"/>
  <c r="N38" i="38"/>
  <c r="M38" i="38"/>
  <c r="L38" i="38"/>
  <c r="K38" i="38"/>
  <c r="J38" i="38"/>
  <c r="I38" i="38"/>
  <c r="H38" i="38"/>
  <c r="G38" i="38"/>
  <c r="F38" i="38"/>
  <c r="E38" i="38"/>
  <c r="D37" i="38"/>
  <c r="D36" i="38"/>
  <c r="D35" i="38"/>
  <c r="D34" i="38"/>
  <c r="D33" i="38"/>
  <c r="D32" i="38"/>
  <c r="D31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29" i="38"/>
  <c r="D28" i="38"/>
  <c r="D27" i="38"/>
  <c r="D26" i="38"/>
  <c r="D25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F22" i="38"/>
  <c r="G22" i="38" s="1"/>
  <c r="H22" i="38" s="1"/>
  <c r="D20" i="38"/>
  <c r="D19" i="38"/>
  <c r="D18" i="38"/>
  <c r="D17" i="38"/>
  <c r="D16" i="38"/>
  <c r="D15" i="38"/>
  <c r="D14" i="38"/>
  <c r="D13" i="38"/>
  <c r="D11" i="38"/>
  <c r="D10" i="38"/>
  <c r="D9" i="38"/>
  <c r="D8" i="38"/>
  <c r="D7" i="38"/>
  <c r="D6" i="38"/>
  <c r="D30" i="39" l="1"/>
  <c r="D96" i="39"/>
  <c r="D124" i="39"/>
  <c r="D38" i="38"/>
  <c r="D127" i="38"/>
  <c r="D78" i="39"/>
  <c r="D151" i="39"/>
  <c r="D46" i="39"/>
  <c r="D66" i="39"/>
  <c r="D85" i="39"/>
  <c r="D146" i="39"/>
  <c r="D118" i="39"/>
  <c r="D57" i="39"/>
  <c r="D108" i="39"/>
  <c r="D127" i="39"/>
  <c r="D141" i="39"/>
  <c r="D82" i="38"/>
  <c r="D78" i="38" s="1"/>
  <c r="E5" i="38"/>
  <c r="D24" i="38"/>
  <c r="D151" i="38"/>
  <c r="F69" i="38"/>
  <c r="F21" i="38"/>
  <c r="G21" i="38" s="1"/>
  <c r="H21" i="38" s="1"/>
  <c r="I21" i="38" s="1"/>
  <c r="J21" i="38" s="1"/>
  <c r="K21" i="38" s="1"/>
  <c r="D146" i="38"/>
  <c r="D136" i="38"/>
  <c r="D85" i="38"/>
  <c r="E66" i="38"/>
  <c r="D108" i="38"/>
  <c r="L21" i="39"/>
  <c r="M21" i="39" s="1"/>
  <c r="N21" i="39" s="1"/>
  <c r="E4" i="39"/>
  <c r="F12" i="39"/>
  <c r="D24" i="39"/>
  <c r="D38" i="39"/>
  <c r="D136" i="39"/>
  <c r="D93" i="39"/>
  <c r="H70" i="38"/>
  <c r="I22" i="38"/>
  <c r="J22" i="38" s="1"/>
  <c r="K22" i="38" s="1"/>
  <c r="D118" i="38"/>
  <c r="D23" i="38"/>
  <c r="D30" i="38"/>
  <c r="D46" i="38"/>
  <c r="D93" i="38"/>
  <c r="D141" i="38"/>
  <c r="D106" i="38"/>
  <c r="D124" i="38"/>
  <c r="D96" i="38"/>
  <c r="D57" i="38"/>
  <c r="F5" i="38" l="1"/>
  <c r="G5" i="38"/>
  <c r="E4" i="38"/>
  <c r="G69" i="38"/>
  <c r="F66" i="38"/>
  <c r="F4" i="38" s="1"/>
  <c r="F5" i="39"/>
  <c r="G12" i="39"/>
  <c r="O21" i="39"/>
  <c r="L21" i="38"/>
  <c r="M21" i="38" s="1"/>
  <c r="N21" i="38" s="1"/>
  <c r="I70" i="38"/>
  <c r="L22" i="38"/>
  <c r="H5" i="38"/>
  <c r="H69" i="38" l="1"/>
  <c r="G66" i="38"/>
  <c r="P21" i="39"/>
  <c r="D21" i="39"/>
  <c r="G5" i="39"/>
  <c r="G4" i="39" s="1"/>
  <c r="H12" i="39"/>
  <c r="F4" i="39"/>
  <c r="J70" i="38"/>
  <c r="K70" i="38" s="1"/>
  <c r="M22" i="38"/>
  <c r="N22" i="38" s="1"/>
  <c r="O21" i="38"/>
  <c r="I5" i="38"/>
  <c r="G4" i="38" l="1"/>
  <c r="I69" i="38"/>
  <c r="H66" i="38"/>
  <c r="H4" i="38" s="1"/>
  <c r="H5" i="39"/>
  <c r="I12" i="39"/>
  <c r="J5" i="38"/>
  <c r="P21" i="38"/>
  <c r="D21" i="38" s="1"/>
  <c r="O22" i="38"/>
  <c r="L70" i="38"/>
  <c r="J69" i="38" l="1"/>
  <c r="I66" i="38"/>
  <c r="I4" i="38" s="1"/>
  <c r="J12" i="39"/>
  <c r="I5" i="39"/>
  <c r="I4" i="39" s="1"/>
  <c r="H4" i="39"/>
  <c r="M70" i="38"/>
  <c r="N70" i="38" s="1"/>
  <c r="P22" i="38"/>
  <c r="D22" i="38"/>
  <c r="K5" i="38"/>
  <c r="J66" i="38" l="1"/>
  <c r="K69" i="38"/>
  <c r="J5" i="39"/>
  <c r="K12" i="39"/>
  <c r="L5" i="38"/>
  <c r="O70" i="38"/>
  <c r="K66" i="38" l="1"/>
  <c r="K4" i="38" s="1"/>
  <c r="L69" i="38"/>
  <c r="J4" i="38"/>
  <c r="J4" i="39"/>
  <c r="L12" i="39"/>
  <c r="K5" i="39"/>
  <c r="M5" i="38"/>
  <c r="N12" i="38"/>
  <c r="P70" i="38"/>
  <c r="D70" i="38"/>
  <c r="M69" i="38" l="1"/>
  <c r="L66" i="38"/>
  <c r="L4" i="38" s="1"/>
  <c r="K4" i="39"/>
  <c r="M12" i="39"/>
  <c r="L5" i="39"/>
  <c r="L4" i="39" s="1"/>
  <c r="O12" i="38"/>
  <c r="N5" i="38"/>
  <c r="M66" i="38" l="1"/>
  <c r="N69" i="38"/>
  <c r="N12" i="39"/>
  <c r="M5" i="39"/>
  <c r="M4" i="39" s="1"/>
  <c r="P12" i="38"/>
  <c r="P5" i="38" s="1"/>
  <c r="O5" i="38"/>
  <c r="D12" i="38"/>
  <c r="O69" i="38" l="1"/>
  <c r="N66" i="38"/>
  <c r="N4" i="38" s="1"/>
  <c r="M4" i="38"/>
  <c r="O12" i="39"/>
  <c r="N5" i="39"/>
  <c r="D5" i="38"/>
  <c r="P69" i="38" l="1"/>
  <c r="O66" i="38"/>
  <c r="O4" i="38" s="1"/>
  <c r="N4" i="39"/>
  <c r="P12" i="39"/>
  <c r="O5" i="39"/>
  <c r="O4" i="39" s="1"/>
  <c r="P66" i="38" l="1"/>
  <c r="P4" i="38" s="1"/>
  <c r="D69" i="38"/>
  <c r="D66" i="38" s="1"/>
  <c r="D4" i="38" s="1"/>
  <c r="P5" i="39"/>
  <c r="P4" i="39" s="1"/>
  <c r="D12" i="39"/>
  <c r="D5" i="39" l="1"/>
  <c r="D4" i="39" s="1"/>
  <c r="D154" i="37" l="1"/>
  <c r="D153" i="37"/>
  <c r="D152" i="37"/>
  <c r="P151" i="37"/>
  <c r="O151" i="37"/>
  <c r="N151" i="37"/>
  <c r="M151" i="37"/>
  <c r="L151" i="37"/>
  <c r="K151" i="37"/>
  <c r="J151" i="37"/>
  <c r="I151" i="37"/>
  <c r="H151" i="37"/>
  <c r="G151" i="37"/>
  <c r="F151" i="37"/>
  <c r="E151" i="37"/>
  <c r="D150" i="37"/>
  <c r="D149" i="37"/>
  <c r="D148" i="37"/>
  <c r="D147" i="37"/>
  <c r="P146" i="37"/>
  <c r="O146" i="37"/>
  <c r="N146" i="37"/>
  <c r="M146" i="37"/>
  <c r="L146" i="37"/>
  <c r="K146" i="37"/>
  <c r="J146" i="37"/>
  <c r="I146" i="37"/>
  <c r="H146" i="37"/>
  <c r="G146" i="37"/>
  <c r="F146" i="37"/>
  <c r="E146" i="37"/>
  <c r="D145" i="37"/>
  <c r="D144" i="37"/>
  <c r="D143" i="37"/>
  <c r="D142" i="37"/>
  <c r="P141" i="37"/>
  <c r="O141" i="37"/>
  <c r="N141" i="37"/>
  <c r="M141" i="37"/>
  <c r="L141" i="37"/>
  <c r="K141" i="37"/>
  <c r="J141" i="37"/>
  <c r="I141" i="37"/>
  <c r="H141" i="37"/>
  <c r="G141" i="37"/>
  <c r="F141" i="37"/>
  <c r="E141" i="37"/>
  <c r="D140" i="37"/>
  <c r="D139" i="37"/>
  <c r="D138" i="37"/>
  <c r="D137" i="37"/>
  <c r="P136" i="37"/>
  <c r="O136" i="37"/>
  <c r="N136" i="37"/>
  <c r="M136" i="37"/>
  <c r="L136" i="37"/>
  <c r="K136" i="37"/>
  <c r="J136" i="37"/>
  <c r="I136" i="37"/>
  <c r="H136" i="37"/>
  <c r="G136" i="37"/>
  <c r="F136" i="37"/>
  <c r="E136" i="37"/>
  <c r="D135" i="37"/>
  <c r="D134" i="37"/>
  <c r="D133" i="37"/>
  <c r="D132" i="37"/>
  <c r="D131" i="37"/>
  <c r="D130" i="37"/>
  <c r="D129" i="37"/>
  <c r="D128" i="37"/>
  <c r="P127" i="37"/>
  <c r="O127" i="37"/>
  <c r="N127" i="37"/>
  <c r="M127" i="37"/>
  <c r="L127" i="37"/>
  <c r="K127" i="37"/>
  <c r="J127" i="37"/>
  <c r="I127" i="37"/>
  <c r="H127" i="37"/>
  <c r="G127" i="37"/>
  <c r="F127" i="37"/>
  <c r="E127" i="37"/>
  <c r="D126" i="37"/>
  <c r="D125" i="37"/>
  <c r="P124" i="37"/>
  <c r="O124" i="37"/>
  <c r="N124" i="37"/>
  <c r="M124" i="37"/>
  <c r="L124" i="37"/>
  <c r="K124" i="37"/>
  <c r="J124" i="37"/>
  <c r="I124" i="37"/>
  <c r="H124" i="37"/>
  <c r="G124" i="37"/>
  <c r="F124" i="37"/>
  <c r="E124" i="37"/>
  <c r="D123" i="37"/>
  <c r="D122" i="37"/>
  <c r="D121" i="37"/>
  <c r="D120" i="37"/>
  <c r="D119" i="37"/>
  <c r="P118" i="37"/>
  <c r="O118" i="37"/>
  <c r="N118" i="37"/>
  <c r="M118" i="37"/>
  <c r="L118" i="37"/>
  <c r="K118" i="37"/>
  <c r="J118" i="37"/>
  <c r="I118" i="37"/>
  <c r="H118" i="37"/>
  <c r="G118" i="37"/>
  <c r="F118" i="37"/>
  <c r="E118" i="37"/>
  <c r="D117" i="37"/>
  <c r="D116" i="37" s="1"/>
  <c r="P116" i="37"/>
  <c r="O116" i="37"/>
  <c r="N116" i="37"/>
  <c r="M116" i="37"/>
  <c r="L116" i="37"/>
  <c r="K116" i="37"/>
  <c r="J116" i="37"/>
  <c r="I116" i="37"/>
  <c r="H116" i="37"/>
  <c r="G116" i="37"/>
  <c r="F116" i="37"/>
  <c r="E116" i="37"/>
  <c r="D115" i="37"/>
  <c r="D114" i="37"/>
  <c r="D113" i="37"/>
  <c r="D112" i="37"/>
  <c r="D111" i="37"/>
  <c r="D110" i="37"/>
  <c r="D109" i="37"/>
  <c r="P108" i="37"/>
  <c r="O108" i="37"/>
  <c r="N108" i="37"/>
  <c r="M108" i="37"/>
  <c r="L108" i="37"/>
  <c r="K108" i="37"/>
  <c r="J108" i="37"/>
  <c r="I108" i="37"/>
  <c r="H108" i="37"/>
  <c r="G108" i="37"/>
  <c r="F108" i="37"/>
  <c r="E108" i="37"/>
  <c r="D107" i="37"/>
  <c r="D106" i="37" s="1"/>
  <c r="P106" i="37"/>
  <c r="O106" i="37"/>
  <c r="N106" i="37"/>
  <c r="M106" i="37"/>
  <c r="L106" i="37"/>
  <c r="K106" i="37"/>
  <c r="J106" i="37"/>
  <c r="I106" i="37"/>
  <c r="H106" i="37"/>
  <c r="G106" i="37"/>
  <c r="F106" i="37"/>
  <c r="E106" i="37"/>
  <c r="D105" i="37"/>
  <c r="D104" i="37"/>
  <c r="D103" i="37"/>
  <c r="D102" i="37"/>
  <c r="D101" i="37"/>
  <c r="D100" i="37"/>
  <c r="D99" i="37"/>
  <c r="D98" i="37"/>
  <c r="D97" i="37"/>
  <c r="P96" i="37"/>
  <c r="O96" i="37"/>
  <c r="N96" i="37"/>
  <c r="M96" i="37"/>
  <c r="L96" i="37"/>
  <c r="K96" i="37"/>
  <c r="J96" i="37"/>
  <c r="I96" i="37"/>
  <c r="H96" i="37"/>
  <c r="G96" i="37"/>
  <c r="F96" i="37"/>
  <c r="E96" i="37"/>
  <c r="D95" i="37"/>
  <c r="D94" i="37"/>
  <c r="P93" i="37"/>
  <c r="O93" i="37"/>
  <c r="N93" i="37"/>
  <c r="M93" i="37"/>
  <c r="L93" i="37"/>
  <c r="K93" i="37"/>
  <c r="J93" i="37"/>
  <c r="I93" i="37"/>
  <c r="H93" i="37"/>
  <c r="G93" i="37"/>
  <c r="F93" i="37"/>
  <c r="E93" i="37"/>
  <c r="D92" i="37"/>
  <c r="D91" i="37"/>
  <c r="D90" i="37"/>
  <c r="D89" i="37"/>
  <c r="D88" i="37"/>
  <c r="D87" i="37"/>
  <c r="D86" i="37"/>
  <c r="P85" i="37"/>
  <c r="O85" i="37"/>
  <c r="N85" i="37"/>
  <c r="M85" i="37"/>
  <c r="L85" i="37"/>
  <c r="K85" i="37"/>
  <c r="J85" i="37"/>
  <c r="I85" i="37"/>
  <c r="H85" i="37"/>
  <c r="G85" i="37"/>
  <c r="F85" i="37"/>
  <c r="E85" i="37"/>
  <c r="D84" i="37"/>
  <c r="D83" i="37"/>
  <c r="D82" i="37"/>
  <c r="P81" i="37"/>
  <c r="P78" i="37" s="1"/>
  <c r="E81" i="37"/>
  <c r="E78" i="37" s="1"/>
  <c r="D80" i="37"/>
  <c r="M79" i="37"/>
  <c r="M78" i="37" s="1"/>
  <c r="J79" i="37"/>
  <c r="J78" i="37" s="1"/>
  <c r="O78" i="37"/>
  <c r="N78" i="37"/>
  <c r="L78" i="37"/>
  <c r="K78" i="37"/>
  <c r="I78" i="37"/>
  <c r="H78" i="37"/>
  <c r="G78" i="37"/>
  <c r="F78" i="37"/>
  <c r="D77" i="37"/>
  <c r="D76" i="37"/>
  <c r="D75" i="37"/>
  <c r="D74" i="37"/>
  <c r="D73" i="37"/>
  <c r="D72" i="37"/>
  <c r="D71" i="37"/>
  <c r="D70" i="37"/>
  <c r="D69" i="37"/>
  <c r="D68" i="37"/>
  <c r="D67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5" i="37"/>
  <c r="D64" i="37"/>
  <c r="D63" i="37"/>
  <c r="D62" i="37"/>
  <c r="D61" i="37"/>
  <c r="D60" i="37"/>
  <c r="D59" i="37"/>
  <c r="D58" i="37"/>
  <c r="P57" i="37"/>
  <c r="O57" i="37"/>
  <c r="N57" i="37"/>
  <c r="M57" i="37"/>
  <c r="L57" i="37"/>
  <c r="K57" i="37"/>
  <c r="J57" i="37"/>
  <c r="I57" i="37"/>
  <c r="H57" i="37"/>
  <c r="G57" i="37"/>
  <c r="F57" i="37"/>
  <c r="E57" i="37"/>
  <c r="D56" i="37"/>
  <c r="D55" i="37"/>
  <c r="D54" i="37"/>
  <c r="D53" i="37"/>
  <c r="D52" i="37"/>
  <c r="D51" i="37"/>
  <c r="D50" i="37"/>
  <c r="D49" i="37"/>
  <c r="D48" i="37"/>
  <c r="D47" i="37"/>
  <c r="P46" i="37"/>
  <c r="O46" i="37"/>
  <c r="N46" i="37"/>
  <c r="M46" i="37"/>
  <c r="L46" i="37"/>
  <c r="K46" i="37"/>
  <c r="J46" i="37"/>
  <c r="I46" i="37"/>
  <c r="H46" i="37"/>
  <c r="G46" i="37"/>
  <c r="F46" i="37"/>
  <c r="E46" i="37"/>
  <c r="D45" i="37"/>
  <c r="D44" i="37"/>
  <c r="D43" i="37"/>
  <c r="D42" i="37"/>
  <c r="D41" i="37"/>
  <c r="D40" i="37"/>
  <c r="D39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7" i="37"/>
  <c r="D36" i="37"/>
  <c r="D35" i="37"/>
  <c r="D34" i="37"/>
  <c r="D33" i="37"/>
  <c r="D32" i="37"/>
  <c r="D31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29" i="37"/>
  <c r="D28" i="37"/>
  <c r="D27" i="37"/>
  <c r="D26" i="37"/>
  <c r="D25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P5" i="37"/>
  <c r="O5" i="37"/>
  <c r="N5" i="37"/>
  <c r="M5" i="37"/>
  <c r="L5" i="37"/>
  <c r="K5" i="37"/>
  <c r="J5" i="37"/>
  <c r="I5" i="37"/>
  <c r="H5" i="37"/>
  <c r="G5" i="37"/>
  <c r="F5" i="37"/>
  <c r="E5" i="37"/>
  <c r="D154" i="36"/>
  <c r="D153" i="36"/>
  <c r="D152" i="36"/>
  <c r="P151" i="36"/>
  <c r="O151" i="36"/>
  <c r="N151" i="36"/>
  <c r="M151" i="36"/>
  <c r="L151" i="36"/>
  <c r="K151" i="36"/>
  <c r="J151" i="36"/>
  <c r="I151" i="36"/>
  <c r="H151" i="36"/>
  <c r="G151" i="36"/>
  <c r="F151" i="36"/>
  <c r="E151" i="36"/>
  <c r="D150" i="36"/>
  <c r="D149" i="36"/>
  <c r="P148" i="36"/>
  <c r="P146" i="36" s="1"/>
  <c r="O148" i="36"/>
  <c r="O146" i="36" s="1"/>
  <c r="N148" i="36"/>
  <c r="N146" i="36" s="1"/>
  <c r="M148" i="36"/>
  <c r="M146" i="36" s="1"/>
  <c r="L148" i="36"/>
  <c r="L146" i="36" s="1"/>
  <c r="K148" i="36"/>
  <c r="K146" i="36" s="1"/>
  <c r="J148" i="36"/>
  <c r="J146" i="36" s="1"/>
  <c r="I148" i="36"/>
  <c r="I146" i="36" s="1"/>
  <c r="H148" i="36"/>
  <c r="H146" i="36" s="1"/>
  <c r="G148" i="36"/>
  <c r="G146" i="36" s="1"/>
  <c r="F148" i="36"/>
  <c r="F146" i="36" s="1"/>
  <c r="E148" i="36"/>
  <c r="E146" i="36" s="1"/>
  <c r="D147" i="36"/>
  <c r="D145" i="36"/>
  <c r="D144" i="36"/>
  <c r="D143" i="36"/>
  <c r="D142" i="36"/>
  <c r="P141" i="36"/>
  <c r="O141" i="36"/>
  <c r="N141" i="36"/>
  <c r="M141" i="36"/>
  <c r="L141" i="36"/>
  <c r="K141" i="36"/>
  <c r="J141" i="36"/>
  <c r="I141" i="36"/>
  <c r="H141" i="36"/>
  <c r="G141" i="36"/>
  <c r="F141" i="36"/>
  <c r="E141" i="36"/>
  <c r="D140" i="36"/>
  <c r="D139" i="36"/>
  <c r="D138" i="36"/>
  <c r="D137" i="36"/>
  <c r="P136" i="36"/>
  <c r="O136" i="36"/>
  <c r="N136" i="36"/>
  <c r="M136" i="36"/>
  <c r="L136" i="36"/>
  <c r="K136" i="36"/>
  <c r="J136" i="36"/>
  <c r="I136" i="36"/>
  <c r="H136" i="36"/>
  <c r="G136" i="36"/>
  <c r="F136" i="36"/>
  <c r="E136" i="36"/>
  <c r="D135" i="36"/>
  <c r="D134" i="36"/>
  <c r="D133" i="36"/>
  <c r="D132" i="36"/>
  <c r="D131" i="36"/>
  <c r="D130" i="36"/>
  <c r="D129" i="36"/>
  <c r="D128" i="36"/>
  <c r="P127" i="36"/>
  <c r="O127" i="36"/>
  <c r="N127" i="36"/>
  <c r="M127" i="36"/>
  <c r="L127" i="36"/>
  <c r="K127" i="36"/>
  <c r="J127" i="36"/>
  <c r="I127" i="36"/>
  <c r="H127" i="36"/>
  <c r="G127" i="36"/>
  <c r="F127" i="36"/>
  <c r="E127" i="36"/>
  <c r="D126" i="36"/>
  <c r="D125" i="36"/>
  <c r="P124" i="36"/>
  <c r="O124" i="36"/>
  <c r="N124" i="36"/>
  <c r="M124" i="36"/>
  <c r="L124" i="36"/>
  <c r="K124" i="36"/>
  <c r="J124" i="36"/>
  <c r="I124" i="36"/>
  <c r="H124" i="36"/>
  <c r="G124" i="36"/>
  <c r="F124" i="36"/>
  <c r="E124" i="36"/>
  <c r="D123" i="36"/>
  <c r="D122" i="36"/>
  <c r="D121" i="36"/>
  <c r="D120" i="36"/>
  <c r="D119" i="36"/>
  <c r="P118" i="36"/>
  <c r="O118" i="36"/>
  <c r="N118" i="36"/>
  <c r="M118" i="36"/>
  <c r="L118" i="36"/>
  <c r="K118" i="36"/>
  <c r="J118" i="36"/>
  <c r="I118" i="36"/>
  <c r="H118" i="36"/>
  <c r="G118" i="36"/>
  <c r="F118" i="36"/>
  <c r="E118" i="36"/>
  <c r="D117" i="36"/>
  <c r="D116" i="36" s="1"/>
  <c r="P116" i="36"/>
  <c r="O116" i="36"/>
  <c r="N116" i="36"/>
  <c r="M116" i="36"/>
  <c r="L116" i="36"/>
  <c r="K116" i="36"/>
  <c r="J116" i="36"/>
  <c r="I116" i="36"/>
  <c r="H116" i="36"/>
  <c r="G116" i="36"/>
  <c r="F116" i="36"/>
  <c r="E116" i="36"/>
  <c r="D115" i="36"/>
  <c r="D114" i="36"/>
  <c r="D113" i="36"/>
  <c r="D112" i="36"/>
  <c r="D111" i="36"/>
  <c r="D110" i="36"/>
  <c r="D109" i="36"/>
  <c r="P108" i="36"/>
  <c r="O108" i="36"/>
  <c r="N108" i="36"/>
  <c r="M108" i="36"/>
  <c r="L108" i="36"/>
  <c r="K108" i="36"/>
  <c r="J108" i="36"/>
  <c r="I108" i="36"/>
  <c r="H108" i="36"/>
  <c r="G108" i="36"/>
  <c r="F108" i="36"/>
  <c r="E108" i="36"/>
  <c r="D107" i="36"/>
  <c r="D106" i="36" s="1"/>
  <c r="P106" i="36"/>
  <c r="O106" i="36"/>
  <c r="N106" i="36"/>
  <c r="M106" i="36"/>
  <c r="L106" i="36"/>
  <c r="K106" i="36"/>
  <c r="J106" i="36"/>
  <c r="I106" i="36"/>
  <c r="H106" i="36"/>
  <c r="G106" i="36"/>
  <c r="F106" i="36"/>
  <c r="E106" i="36"/>
  <c r="D105" i="36"/>
  <c r="D104" i="36"/>
  <c r="D103" i="36"/>
  <c r="D102" i="36"/>
  <c r="D101" i="36"/>
  <c r="D100" i="36"/>
  <c r="D99" i="36"/>
  <c r="D98" i="36"/>
  <c r="D97" i="36"/>
  <c r="P96" i="36"/>
  <c r="O96" i="36"/>
  <c r="N96" i="36"/>
  <c r="M96" i="36"/>
  <c r="L96" i="36"/>
  <c r="K96" i="36"/>
  <c r="J96" i="36"/>
  <c r="I96" i="36"/>
  <c r="H96" i="36"/>
  <c r="G96" i="36"/>
  <c r="F96" i="36"/>
  <c r="E96" i="36"/>
  <c r="D95" i="36"/>
  <c r="D94" i="36"/>
  <c r="P93" i="36"/>
  <c r="O93" i="36"/>
  <c r="N93" i="36"/>
  <c r="M93" i="36"/>
  <c r="L93" i="36"/>
  <c r="K93" i="36"/>
  <c r="J93" i="36"/>
  <c r="I93" i="36"/>
  <c r="H93" i="36"/>
  <c r="G93" i="36"/>
  <c r="F93" i="36"/>
  <c r="E93" i="36"/>
  <c r="D92" i="36"/>
  <c r="D91" i="36"/>
  <c r="D90" i="36"/>
  <c r="D89" i="36"/>
  <c r="D88" i="36"/>
  <c r="D87" i="36"/>
  <c r="D86" i="36"/>
  <c r="P85" i="36"/>
  <c r="O85" i="36"/>
  <c r="N85" i="36"/>
  <c r="M85" i="36"/>
  <c r="L85" i="36"/>
  <c r="K85" i="36"/>
  <c r="J85" i="36"/>
  <c r="I85" i="36"/>
  <c r="H85" i="36"/>
  <c r="G85" i="36"/>
  <c r="F85" i="36"/>
  <c r="E85" i="36"/>
  <c r="D84" i="36"/>
  <c r="D83" i="36"/>
  <c r="D82" i="36"/>
  <c r="D81" i="36"/>
  <c r="D80" i="36"/>
  <c r="D79" i="36"/>
  <c r="P78" i="36"/>
  <c r="O78" i="36"/>
  <c r="N78" i="36"/>
  <c r="M78" i="36"/>
  <c r="L78" i="36"/>
  <c r="K78" i="36"/>
  <c r="J78" i="36"/>
  <c r="I78" i="36"/>
  <c r="H78" i="36"/>
  <c r="G78" i="36"/>
  <c r="F78" i="36"/>
  <c r="E78" i="36"/>
  <c r="D77" i="36"/>
  <c r="D76" i="36"/>
  <c r="D75" i="36"/>
  <c r="D74" i="36"/>
  <c r="D73" i="36"/>
  <c r="D72" i="36"/>
  <c r="D71" i="36"/>
  <c r="D70" i="36"/>
  <c r="D69" i="36"/>
  <c r="D68" i="36"/>
  <c r="D67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D65" i="36"/>
  <c r="D64" i="36"/>
  <c r="D63" i="36"/>
  <c r="D62" i="36"/>
  <c r="D61" i="36"/>
  <c r="D60" i="36"/>
  <c r="D59" i="36"/>
  <c r="D58" i="36"/>
  <c r="P57" i="36"/>
  <c r="O57" i="36"/>
  <c r="N57" i="36"/>
  <c r="M57" i="36"/>
  <c r="L57" i="36"/>
  <c r="K57" i="36"/>
  <c r="J57" i="36"/>
  <c r="I57" i="36"/>
  <c r="H57" i="36"/>
  <c r="G57" i="36"/>
  <c r="F57" i="36"/>
  <c r="E57" i="36"/>
  <c r="D56" i="36"/>
  <c r="D55" i="36"/>
  <c r="D54" i="36"/>
  <c r="D53" i="36"/>
  <c r="D52" i="36"/>
  <c r="D51" i="36"/>
  <c r="D50" i="36"/>
  <c r="D49" i="36"/>
  <c r="D48" i="36"/>
  <c r="D47" i="36"/>
  <c r="P46" i="36"/>
  <c r="O46" i="36"/>
  <c r="N46" i="36"/>
  <c r="M46" i="36"/>
  <c r="L46" i="36"/>
  <c r="K46" i="36"/>
  <c r="J46" i="36"/>
  <c r="I46" i="36"/>
  <c r="H46" i="36"/>
  <c r="G46" i="36"/>
  <c r="F46" i="36"/>
  <c r="E46" i="36"/>
  <c r="D45" i="36"/>
  <c r="D44" i="36"/>
  <c r="D43" i="36"/>
  <c r="D42" i="36"/>
  <c r="D41" i="36"/>
  <c r="D40" i="36"/>
  <c r="D39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7" i="36"/>
  <c r="D36" i="36"/>
  <c r="D35" i="36"/>
  <c r="D34" i="36"/>
  <c r="D33" i="36"/>
  <c r="D32" i="36"/>
  <c r="D31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29" i="36"/>
  <c r="D28" i="36"/>
  <c r="D27" i="36"/>
  <c r="D26" i="36"/>
  <c r="D25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P5" i="36"/>
  <c r="O5" i="36"/>
  <c r="N5" i="36"/>
  <c r="M5" i="36"/>
  <c r="L5" i="36"/>
  <c r="K5" i="36"/>
  <c r="J5" i="36"/>
  <c r="I5" i="36"/>
  <c r="H5" i="36"/>
  <c r="G5" i="36"/>
  <c r="F5" i="36"/>
  <c r="E5" i="36"/>
  <c r="E154" i="35"/>
  <c r="D154" i="35" s="1"/>
  <c r="E153" i="35"/>
  <c r="E152" i="35"/>
  <c r="D152" i="35" s="1"/>
  <c r="P151" i="35"/>
  <c r="O151" i="35"/>
  <c r="N151" i="35"/>
  <c r="M151" i="35"/>
  <c r="L151" i="35"/>
  <c r="K151" i="35"/>
  <c r="J151" i="35"/>
  <c r="I151" i="35"/>
  <c r="H151" i="35"/>
  <c r="G151" i="35"/>
  <c r="F151" i="35"/>
  <c r="D150" i="35"/>
  <c r="D149" i="35"/>
  <c r="D148" i="35"/>
  <c r="D147" i="35"/>
  <c r="P146" i="35"/>
  <c r="O146" i="35"/>
  <c r="N146" i="35"/>
  <c r="M146" i="35"/>
  <c r="L146" i="35"/>
  <c r="K146" i="35"/>
  <c r="J146" i="35"/>
  <c r="I146" i="35"/>
  <c r="H146" i="35"/>
  <c r="G146" i="35"/>
  <c r="F146" i="35"/>
  <c r="E146" i="35"/>
  <c r="D145" i="35"/>
  <c r="D144" i="35"/>
  <c r="D143" i="35"/>
  <c r="D142" i="35"/>
  <c r="P141" i="35"/>
  <c r="O141" i="35"/>
  <c r="N141" i="35"/>
  <c r="M141" i="35"/>
  <c r="L141" i="35"/>
  <c r="K141" i="35"/>
  <c r="J141" i="35"/>
  <c r="I141" i="35"/>
  <c r="H141" i="35"/>
  <c r="G141" i="35"/>
  <c r="F141" i="35"/>
  <c r="E141" i="35"/>
  <c r="D140" i="35"/>
  <c r="D139" i="35"/>
  <c r="D138" i="35"/>
  <c r="D137" i="35"/>
  <c r="P136" i="35"/>
  <c r="O136" i="35"/>
  <c r="N136" i="35"/>
  <c r="M136" i="35"/>
  <c r="L136" i="35"/>
  <c r="K136" i="35"/>
  <c r="J136" i="35"/>
  <c r="I136" i="35"/>
  <c r="H136" i="35"/>
  <c r="G136" i="35"/>
  <c r="F136" i="35"/>
  <c r="E136" i="35"/>
  <c r="D135" i="35"/>
  <c r="D134" i="35"/>
  <c r="D133" i="35"/>
  <c r="D132" i="35"/>
  <c r="D131" i="35"/>
  <c r="D130" i="35"/>
  <c r="D129" i="35"/>
  <c r="D128" i="35"/>
  <c r="P127" i="35"/>
  <c r="O127" i="35"/>
  <c r="N127" i="35"/>
  <c r="M127" i="35"/>
  <c r="L127" i="35"/>
  <c r="K127" i="35"/>
  <c r="J127" i="35"/>
  <c r="I127" i="35"/>
  <c r="H127" i="35"/>
  <c r="G127" i="35"/>
  <c r="F127" i="35"/>
  <c r="E127" i="35"/>
  <c r="D126" i="35"/>
  <c r="D125" i="35"/>
  <c r="P124" i="35"/>
  <c r="O124" i="35"/>
  <c r="N124" i="35"/>
  <c r="M124" i="35"/>
  <c r="L124" i="35"/>
  <c r="K124" i="35"/>
  <c r="J124" i="35"/>
  <c r="I124" i="35"/>
  <c r="H124" i="35"/>
  <c r="G124" i="35"/>
  <c r="F124" i="35"/>
  <c r="E124" i="35"/>
  <c r="D123" i="35"/>
  <c r="D122" i="35"/>
  <c r="D121" i="35"/>
  <c r="D120" i="35"/>
  <c r="D119" i="35"/>
  <c r="P118" i="35"/>
  <c r="O118" i="35"/>
  <c r="N118" i="35"/>
  <c r="M118" i="35"/>
  <c r="L118" i="35"/>
  <c r="K118" i="35"/>
  <c r="J118" i="35"/>
  <c r="I118" i="35"/>
  <c r="H118" i="35"/>
  <c r="G118" i="35"/>
  <c r="F118" i="35"/>
  <c r="E118" i="35"/>
  <c r="D117" i="35"/>
  <c r="P116" i="35"/>
  <c r="O116" i="35"/>
  <c r="N116" i="35"/>
  <c r="M116" i="35"/>
  <c r="L116" i="35"/>
  <c r="K116" i="35"/>
  <c r="J116" i="35"/>
  <c r="I116" i="35"/>
  <c r="H116" i="35"/>
  <c r="G116" i="35"/>
  <c r="F116" i="35"/>
  <c r="E116" i="35"/>
  <c r="D115" i="35"/>
  <c r="D114" i="35"/>
  <c r="D113" i="35"/>
  <c r="D112" i="35"/>
  <c r="D111" i="35"/>
  <c r="D110" i="35"/>
  <c r="D109" i="35"/>
  <c r="P108" i="35"/>
  <c r="O108" i="35"/>
  <c r="N108" i="35"/>
  <c r="M108" i="35"/>
  <c r="L108" i="35"/>
  <c r="K108" i="35"/>
  <c r="J108" i="35"/>
  <c r="I108" i="35"/>
  <c r="H108" i="35"/>
  <c r="G108" i="35"/>
  <c r="F108" i="35"/>
  <c r="E108" i="35"/>
  <c r="D107" i="35"/>
  <c r="P106" i="35"/>
  <c r="O106" i="35"/>
  <c r="N106" i="35"/>
  <c r="M106" i="35"/>
  <c r="L106" i="35"/>
  <c r="K106" i="35"/>
  <c r="J106" i="35"/>
  <c r="I106" i="35"/>
  <c r="H106" i="35"/>
  <c r="G106" i="35"/>
  <c r="F106" i="35"/>
  <c r="E106" i="35"/>
  <c r="D105" i="35"/>
  <c r="D104" i="35"/>
  <c r="D103" i="35"/>
  <c r="D102" i="35"/>
  <c r="D101" i="35"/>
  <c r="D100" i="35"/>
  <c r="D99" i="35"/>
  <c r="D98" i="35"/>
  <c r="D97" i="35"/>
  <c r="P96" i="35"/>
  <c r="O96" i="35"/>
  <c r="N96" i="35"/>
  <c r="M96" i="35"/>
  <c r="L96" i="35"/>
  <c r="K96" i="35"/>
  <c r="J96" i="35"/>
  <c r="I96" i="35"/>
  <c r="H96" i="35"/>
  <c r="G96" i="35"/>
  <c r="F96" i="35"/>
  <c r="E96" i="35"/>
  <c r="D95" i="35"/>
  <c r="D94" i="35"/>
  <c r="P93" i="35"/>
  <c r="O93" i="35"/>
  <c r="N93" i="35"/>
  <c r="M93" i="35"/>
  <c r="L93" i="35"/>
  <c r="K93" i="35"/>
  <c r="J93" i="35"/>
  <c r="I93" i="35"/>
  <c r="H93" i="35"/>
  <c r="G93" i="35"/>
  <c r="F93" i="35"/>
  <c r="E93" i="35"/>
  <c r="D92" i="35"/>
  <c r="D91" i="35"/>
  <c r="D90" i="35"/>
  <c r="D89" i="35"/>
  <c r="D88" i="35"/>
  <c r="D87" i="35"/>
  <c r="D86" i="35"/>
  <c r="P85" i="35"/>
  <c r="O85" i="35"/>
  <c r="N85" i="35"/>
  <c r="M85" i="35"/>
  <c r="L85" i="35"/>
  <c r="K85" i="35"/>
  <c r="J85" i="35"/>
  <c r="I85" i="35"/>
  <c r="H85" i="35"/>
  <c r="G85" i="35"/>
  <c r="F85" i="35"/>
  <c r="E85" i="35"/>
  <c r="D84" i="35"/>
  <c r="D83" i="35"/>
  <c r="D82" i="35"/>
  <c r="D81" i="35"/>
  <c r="D80" i="35"/>
  <c r="D79" i="35"/>
  <c r="P78" i="35"/>
  <c r="O78" i="35"/>
  <c r="N78" i="35"/>
  <c r="M78" i="35"/>
  <c r="L78" i="35"/>
  <c r="K78" i="35"/>
  <c r="J78" i="35"/>
  <c r="I78" i="35"/>
  <c r="H78" i="35"/>
  <c r="G78" i="35"/>
  <c r="F78" i="35"/>
  <c r="E78" i="35"/>
  <c r="D77" i="35"/>
  <c r="D76" i="35"/>
  <c r="D75" i="35"/>
  <c r="D74" i="35"/>
  <c r="D73" i="35"/>
  <c r="D72" i="35"/>
  <c r="D71" i="35"/>
  <c r="D70" i="35"/>
  <c r="D69" i="35"/>
  <c r="D68" i="35"/>
  <c r="D67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5" i="35"/>
  <c r="D64" i="35"/>
  <c r="D63" i="35"/>
  <c r="D62" i="35"/>
  <c r="D61" i="35"/>
  <c r="D60" i="35"/>
  <c r="D59" i="35"/>
  <c r="D58" i="35"/>
  <c r="P57" i="35"/>
  <c r="O57" i="35"/>
  <c r="N57" i="35"/>
  <c r="M57" i="35"/>
  <c r="L57" i="35"/>
  <c r="K57" i="35"/>
  <c r="J57" i="35"/>
  <c r="I57" i="35"/>
  <c r="H57" i="35"/>
  <c r="G57" i="35"/>
  <c r="F57" i="35"/>
  <c r="E57" i="35"/>
  <c r="D56" i="35"/>
  <c r="D55" i="35"/>
  <c r="D54" i="35"/>
  <c r="D53" i="35"/>
  <c r="D52" i="35"/>
  <c r="D51" i="35"/>
  <c r="D50" i="35"/>
  <c r="D49" i="35"/>
  <c r="D48" i="35"/>
  <c r="D47" i="35"/>
  <c r="P46" i="35"/>
  <c r="O46" i="35"/>
  <c r="N46" i="35"/>
  <c r="M46" i="35"/>
  <c r="L46" i="35"/>
  <c r="K46" i="35"/>
  <c r="J46" i="35"/>
  <c r="I46" i="35"/>
  <c r="H46" i="35"/>
  <c r="G46" i="35"/>
  <c r="F46" i="35"/>
  <c r="E46" i="35"/>
  <c r="D45" i="35"/>
  <c r="D44" i="35"/>
  <c r="D43" i="35"/>
  <c r="D42" i="35"/>
  <c r="D41" i="35"/>
  <c r="D40" i="35"/>
  <c r="D39" i="35"/>
  <c r="P38" i="35"/>
  <c r="O38" i="35"/>
  <c r="N38" i="35"/>
  <c r="M38" i="35"/>
  <c r="L38" i="35"/>
  <c r="K38" i="35"/>
  <c r="J38" i="35"/>
  <c r="I38" i="35"/>
  <c r="H38" i="35"/>
  <c r="G38" i="35"/>
  <c r="F38" i="35"/>
  <c r="E38" i="35"/>
  <c r="D37" i="35"/>
  <c r="D36" i="35"/>
  <c r="D35" i="35"/>
  <c r="D34" i="35"/>
  <c r="D33" i="35"/>
  <c r="D32" i="35"/>
  <c r="D31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29" i="35"/>
  <c r="D28" i="35"/>
  <c r="D27" i="35"/>
  <c r="D26" i="35"/>
  <c r="D25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3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D154" i="34"/>
  <c r="D153" i="34"/>
  <c r="D152" i="34"/>
  <c r="P151" i="34"/>
  <c r="O151" i="34"/>
  <c r="N151" i="34"/>
  <c r="M151" i="34"/>
  <c r="L151" i="34"/>
  <c r="K151" i="34"/>
  <c r="J151" i="34"/>
  <c r="I151" i="34"/>
  <c r="H151" i="34"/>
  <c r="G151" i="34"/>
  <c r="F151" i="34"/>
  <c r="E151" i="34"/>
  <c r="D150" i="34"/>
  <c r="D149" i="34"/>
  <c r="D148" i="34"/>
  <c r="D147" i="34"/>
  <c r="P146" i="34"/>
  <c r="O146" i="34"/>
  <c r="N146" i="34"/>
  <c r="M146" i="34"/>
  <c r="L146" i="34"/>
  <c r="K146" i="34"/>
  <c r="J146" i="34"/>
  <c r="I146" i="34"/>
  <c r="H146" i="34"/>
  <c r="G146" i="34"/>
  <c r="F146" i="34"/>
  <c r="E146" i="34"/>
  <c r="D145" i="34"/>
  <c r="D144" i="34"/>
  <c r="D143" i="34"/>
  <c r="D142" i="34"/>
  <c r="P141" i="34"/>
  <c r="O141" i="34"/>
  <c r="N141" i="34"/>
  <c r="M141" i="34"/>
  <c r="L141" i="34"/>
  <c r="K141" i="34"/>
  <c r="J141" i="34"/>
  <c r="I141" i="34"/>
  <c r="H141" i="34"/>
  <c r="G141" i="34"/>
  <c r="F141" i="34"/>
  <c r="E141" i="34"/>
  <c r="N140" i="34"/>
  <c r="L140" i="34"/>
  <c r="L136" i="34" s="1"/>
  <c r="H140" i="34"/>
  <c r="H136" i="34" s="1"/>
  <c r="E140" i="34"/>
  <c r="D139" i="34"/>
  <c r="D138" i="34"/>
  <c r="D137" i="34"/>
  <c r="P136" i="34"/>
  <c r="O136" i="34"/>
  <c r="M136" i="34"/>
  <c r="K136" i="34"/>
  <c r="J136" i="34"/>
  <c r="I136" i="34"/>
  <c r="G136" i="34"/>
  <c r="F136" i="34"/>
  <c r="D135" i="34"/>
  <c r="D134" i="34"/>
  <c r="D133" i="34"/>
  <c r="D132" i="34"/>
  <c r="D131" i="34"/>
  <c r="D130" i="34"/>
  <c r="D129" i="34"/>
  <c r="D128" i="34"/>
  <c r="P127" i="34"/>
  <c r="O127" i="34"/>
  <c r="N127" i="34"/>
  <c r="M127" i="34"/>
  <c r="L127" i="34"/>
  <c r="K127" i="34"/>
  <c r="J127" i="34"/>
  <c r="I127" i="34"/>
  <c r="H127" i="34"/>
  <c r="G127" i="34"/>
  <c r="F127" i="34"/>
  <c r="E127" i="34"/>
  <c r="D126" i="34"/>
  <c r="D125" i="34"/>
  <c r="P124" i="34"/>
  <c r="O124" i="34"/>
  <c r="N124" i="34"/>
  <c r="M124" i="34"/>
  <c r="L124" i="34"/>
  <c r="K124" i="34"/>
  <c r="J124" i="34"/>
  <c r="I124" i="34"/>
  <c r="H124" i="34"/>
  <c r="G124" i="34"/>
  <c r="F124" i="34"/>
  <c r="E124" i="34"/>
  <c r="D123" i="34"/>
  <c r="D122" i="34"/>
  <c r="D121" i="34"/>
  <c r="D120" i="34"/>
  <c r="D119" i="34"/>
  <c r="P118" i="34"/>
  <c r="O118" i="34"/>
  <c r="N118" i="34"/>
  <c r="M118" i="34"/>
  <c r="L118" i="34"/>
  <c r="K118" i="34"/>
  <c r="J118" i="34"/>
  <c r="I118" i="34"/>
  <c r="H118" i="34"/>
  <c r="G118" i="34"/>
  <c r="F118" i="34"/>
  <c r="E118" i="34"/>
  <c r="D117" i="34"/>
  <c r="D116" i="34" s="1"/>
  <c r="P116" i="34"/>
  <c r="O116" i="34"/>
  <c r="N116" i="34"/>
  <c r="M116" i="34"/>
  <c r="L116" i="34"/>
  <c r="K116" i="34"/>
  <c r="J116" i="34"/>
  <c r="I116" i="34"/>
  <c r="H116" i="34"/>
  <c r="G116" i="34"/>
  <c r="F116" i="34"/>
  <c r="E116" i="34"/>
  <c r="D115" i="34"/>
  <c r="D114" i="34"/>
  <c r="D113" i="34"/>
  <c r="D112" i="34"/>
  <c r="D111" i="34"/>
  <c r="D110" i="34"/>
  <c r="D109" i="34"/>
  <c r="P108" i="34"/>
  <c r="O108" i="34"/>
  <c r="N108" i="34"/>
  <c r="M108" i="34"/>
  <c r="L108" i="34"/>
  <c r="K108" i="34"/>
  <c r="J108" i="34"/>
  <c r="I108" i="34"/>
  <c r="H108" i="34"/>
  <c r="G108" i="34"/>
  <c r="F108" i="34"/>
  <c r="E108" i="34"/>
  <c r="D107" i="34"/>
  <c r="D106" i="34" s="1"/>
  <c r="P106" i="34"/>
  <c r="O106" i="34"/>
  <c r="N106" i="34"/>
  <c r="M106" i="34"/>
  <c r="L106" i="34"/>
  <c r="K106" i="34"/>
  <c r="J106" i="34"/>
  <c r="I106" i="34"/>
  <c r="H106" i="34"/>
  <c r="G106" i="34"/>
  <c r="F106" i="34"/>
  <c r="E106" i="34"/>
  <c r="D105" i="34"/>
  <c r="D104" i="34"/>
  <c r="D103" i="34"/>
  <c r="D102" i="34"/>
  <c r="D101" i="34"/>
  <c r="D100" i="34"/>
  <c r="D99" i="34"/>
  <c r="D98" i="34"/>
  <c r="D97" i="34"/>
  <c r="P96" i="34"/>
  <c r="O96" i="34"/>
  <c r="N96" i="34"/>
  <c r="M96" i="34"/>
  <c r="L96" i="34"/>
  <c r="K96" i="34"/>
  <c r="J96" i="34"/>
  <c r="I96" i="34"/>
  <c r="H96" i="34"/>
  <c r="G96" i="34"/>
  <c r="F96" i="34"/>
  <c r="E96" i="34"/>
  <c r="D95" i="34"/>
  <c r="D94" i="34"/>
  <c r="P93" i="34"/>
  <c r="O93" i="34"/>
  <c r="N93" i="34"/>
  <c r="M93" i="34"/>
  <c r="L93" i="34"/>
  <c r="K93" i="34"/>
  <c r="J93" i="34"/>
  <c r="I93" i="34"/>
  <c r="H93" i="34"/>
  <c r="G93" i="34"/>
  <c r="F93" i="34"/>
  <c r="E93" i="34"/>
  <c r="D92" i="34"/>
  <c r="D91" i="34"/>
  <c r="D90" i="34"/>
  <c r="D89" i="34"/>
  <c r="D88" i="34"/>
  <c r="D87" i="34"/>
  <c r="D86" i="34"/>
  <c r="P85" i="34"/>
  <c r="O85" i="34"/>
  <c r="N85" i="34"/>
  <c r="M85" i="34"/>
  <c r="L85" i="34"/>
  <c r="K85" i="34"/>
  <c r="J85" i="34"/>
  <c r="I85" i="34"/>
  <c r="H85" i="34"/>
  <c r="G85" i="34"/>
  <c r="F85" i="34"/>
  <c r="E85" i="34"/>
  <c r="D84" i="34"/>
  <c r="D83" i="34"/>
  <c r="D82" i="34"/>
  <c r="D81" i="34"/>
  <c r="D80" i="34"/>
  <c r="D79" i="34"/>
  <c r="P78" i="34"/>
  <c r="O78" i="34"/>
  <c r="N78" i="34"/>
  <c r="M78" i="34"/>
  <c r="L78" i="34"/>
  <c r="K78" i="34"/>
  <c r="J78" i="34"/>
  <c r="I78" i="34"/>
  <c r="H78" i="34"/>
  <c r="G78" i="34"/>
  <c r="F78" i="34"/>
  <c r="E78" i="34"/>
  <c r="D77" i="34"/>
  <c r="D76" i="34"/>
  <c r="D75" i="34"/>
  <c r="D74" i="34"/>
  <c r="D73" i="34"/>
  <c r="D72" i="34"/>
  <c r="D71" i="34"/>
  <c r="D70" i="34"/>
  <c r="D69" i="34"/>
  <c r="D68" i="34"/>
  <c r="D67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5" i="34"/>
  <c r="D64" i="34"/>
  <c r="D63" i="34"/>
  <c r="D62" i="34"/>
  <c r="D61" i="34"/>
  <c r="D60" i="34"/>
  <c r="D59" i="34"/>
  <c r="D58" i="34"/>
  <c r="P57" i="34"/>
  <c r="O57" i="34"/>
  <c r="N57" i="34"/>
  <c r="M57" i="34"/>
  <c r="L57" i="34"/>
  <c r="K57" i="34"/>
  <c r="J57" i="34"/>
  <c r="I57" i="34"/>
  <c r="H57" i="34"/>
  <c r="G57" i="34"/>
  <c r="F57" i="34"/>
  <c r="E57" i="34"/>
  <c r="D56" i="34"/>
  <c r="D55" i="34"/>
  <c r="D54" i="34"/>
  <c r="D53" i="34"/>
  <c r="D52" i="34"/>
  <c r="D51" i="34"/>
  <c r="D50" i="34"/>
  <c r="D49" i="34"/>
  <c r="D48" i="34"/>
  <c r="D47" i="34"/>
  <c r="P46" i="34"/>
  <c r="O46" i="34"/>
  <c r="N46" i="34"/>
  <c r="M46" i="34"/>
  <c r="L46" i="34"/>
  <c r="K46" i="34"/>
  <c r="J46" i="34"/>
  <c r="I46" i="34"/>
  <c r="H46" i="34"/>
  <c r="G46" i="34"/>
  <c r="F46" i="34"/>
  <c r="E46" i="34"/>
  <c r="D45" i="34"/>
  <c r="D44" i="34"/>
  <c r="D43" i="34"/>
  <c r="D42" i="34"/>
  <c r="D41" i="34"/>
  <c r="D40" i="34"/>
  <c r="D39" i="34"/>
  <c r="P38" i="34"/>
  <c r="O38" i="34"/>
  <c r="N38" i="34"/>
  <c r="M38" i="34"/>
  <c r="L38" i="34"/>
  <c r="K38" i="34"/>
  <c r="J38" i="34"/>
  <c r="I38" i="34"/>
  <c r="H38" i="34"/>
  <c r="G38" i="34"/>
  <c r="F38" i="34"/>
  <c r="E38" i="34"/>
  <c r="D37" i="34"/>
  <c r="D36" i="34"/>
  <c r="D35" i="34"/>
  <c r="D34" i="34"/>
  <c r="D33" i="34"/>
  <c r="D32" i="34"/>
  <c r="D31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29" i="34"/>
  <c r="D28" i="34"/>
  <c r="D27" i="34"/>
  <c r="D26" i="34"/>
  <c r="D25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P5" i="34"/>
  <c r="O5" i="34"/>
  <c r="N5" i="34"/>
  <c r="M5" i="34"/>
  <c r="L5" i="34"/>
  <c r="K5" i="34"/>
  <c r="J5" i="34"/>
  <c r="I5" i="34"/>
  <c r="H5" i="34"/>
  <c r="G5" i="34"/>
  <c r="F5" i="34"/>
  <c r="E5" i="34"/>
  <c r="D154" i="33"/>
  <c r="D153" i="33"/>
  <c r="D152" i="33"/>
  <c r="P151" i="33"/>
  <c r="O151" i="33"/>
  <c r="N151" i="33"/>
  <c r="M151" i="33"/>
  <c r="L151" i="33"/>
  <c r="K151" i="33"/>
  <c r="J151" i="33"/>
  <c r="I151" i="33"/>
  <c r="H151" i="33"/>
  <c r="G151" i="33"/>
  <c r="F151" i="33"/>
  <c r="E151" i="33"/>
  <c r="D150" i="33"/>
  <c r="D149" i="33"/>
  <c r="D148" i="33"/>
  <c r="D147" i="33"/>
  <c r="P146" i="33"/>
  <c r="O146" i="33"/>
  <c r="N146" i="33"/>
  <c r="M146" i="33"/>
  <c r="L146" i="33"/>
  <c r="K146" i="33"/>
  <c r="J146" i="33"/>
  <c r="I146" i="33"/>
  <c r="H146" i="33"/>
  <c r="G146" i="33"/>
  <c r="F146" i="33"/>
  <c r="E146" i="33"/>
  <c r="D145" i="33"/>
  <c r="D144" i="33"/>
  <c r="D143" i="33"/>
  <c r="D142" i="33"/>
  <c r="P141" i="33"/>
  <c r="O141" i="33"/>
  <c r="N141" i="33"/>
  <c r="M141" i="33"/>
  <c r="L141" i="33"/>
  <c r="K141" i="33"/>
  <c r="J141" i="33"/>
  <c r="I141" i="33"/>
  <c r="H141" i="33"/>
  <c r="G141" i="33"/>
  <c r="F141" i="33"/>
  <c r="E141" i="33"/>
  <c r="D140" i="33"/>
  <c r="D139" i="33"/>
  <c r="D138" i="33"/>
  <c r="D137" i="33"/>
  <c r="P136" i="33"/>
  <c r="O136" i="33"/>
  <c r="N136" i="33"/>
  <c r="M136" i="33"/>
  <c r="L136" i="33"/>
  <c r="K136" i="33"/>
  <c r="J136" i="33"/>
  <c r="I136" i="33"/>
  <c r="H136" i="33"/>
  <c r="G136" i="33"/>
  <c r="F136" i="33"/>
  <c r="E136" i="33"/>
  <c r="D135" i="33"/>
  <c r="D134" i="33"/>
  <c r="D133" i="33"/>
  <c r="D132" i="33"/>
  <c r="D131" i="33"/>
  <c r="D130" i="33"/>
  <c r="D129" i="33"/>
  <c r="D128" i="33"/>
  <c r="P127" i="33"/>
  <c r="O127" i="33"/>
  <c r="N127" i="33"/>
  <c r="M127" i="33"/>
  <c r="L127" i="33"/>
  <c r="K127" i="33"/>
  <c r="J127" i="33"/>
  <c r="I127" i="33"/>
  <c r="H127" i="33"/>
  <c r="G127" i="33"/>
  <c r="F127" i="33"/>
  <c r="E127" i="33"/>
  <c r="D126" i="33"/>
  <c r="D125" i="33"/>
  <c r="P124" i="33"/>
  <c r="O124" i="33"/>
  <c r="N124" i="33"/>
  <c r="M124" i="33"/>
  <c r="L124" i="33"/>
  <c r="K124" i="33"/>
  <c r="J124" i="33"/>
  <c r="I124" i="33"/>
  <c r="H124" i="33"/>
  <c r="G124" i="33"/>
  <c r="F124" i="33"/>
  <c r="E124" i="33"/>
  <c r="D123" i="33"/>
  <c r="D122" i="33"/>
  <c r="D121" i="33"/>
  <c r="D120" i="33"/>
  <c r="D119" i="33"/>
  <c r="P118" i="33"/>
  <c r="O118" i="33"/>
  <c r="N118" i="33"/>
  <c r="M118" i="33"/>
  <c r="L118" i="33"/>
  <c r="K118" i="33"/>
  <c r="J118" i="33"/>
  <c r="I118" i="33"/>
  <c r="H118" i="33"/>
  <c r="G118" i="33"/>
  <c r="F118" i="33"/>
  <c r="E118" i="33"/>
  <c r="D117" i="33"/>
  <c r="P116" i="33"/>
  <c r="O116" i="33"/>
  <c r="N116" i="33"/>
  <c r="M116" i="33"/>
  <c r="L116" i="33"/>
  <c r="K116" i="33"/>
  <c r="J116" i="33"/>
  <c r="I116" i="33"/>
  <c r="H116" i="33"/>
  <c r="G116" i="33"/>
  <c r="F116" i="33"/>
  <c r="E116" i="33"/>
  <c r="D115" i="33"/>
  <c r="D114" i="33"/>
  <c r="D113" i="33"/>
  <c r="D112" i="33"/>
  <c r="D111" i="33"/>
  <c r="D110" i="33"/>
  <c r="D109" i="33"/>
  <c r="P108" i="33"/>
  <c r="O108" i="33"/>
  <c r="N108" i="33"/>
  <c r="M108" i="33"/>
  <c r="L108" i="33"/>
  <c r="K108" i="33"/>
  <c r="J108" i="33"/>
  <c r="I108" i="33"/>
  <c r="H108" i="33"/>
  <c r="G108" i="33"/>
  <c r="F108" i="33"/>
  <c r="E108" i="33"/>
  <c r="D107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5" i="33"/>
  <c r="D104" i="33"/>
  <c r="D103" i="33"/>
  <c r="D102" i="33"/>
  <c r="D101" i="33"/>
  <c r="D100" i="33"/>
  <c r="D99" i="33"/>
  <c r="D98" i="33"/>
  <c r="D97" i="33"/>
  <c r="P96" i="33"/>
  <c r="O96" i="33"/>
  <c r="N96" i="33"/>
  <c r="M96" i="33"/>
  <c r="L96" i="33"/>
  <c r="K96" i="33"/>
  <c r="J96" i="33"/>
  <c r="I96" i="33"/>
  <c r="H96" i="33"/>
  <c r="G96" i="33"/>
  <c r="F96" i="33"/>
  <c r="E96" i="33"/>
  <c r="D95" i="33"/>
  <c r="D94" i="33"/>
  <c r="P93" i="33"/>
  <c r="O93" i="33"/>
  <c r="N93" i="33"/>
  <c r="M93" i="33"/>
  <c r="L93" i="33"/>
  <c r="K93" i="33"/>
  <c r="J93" i="33"/>
  <c r="I93" i="33"/>
  <c r="H93" i="33"/>
  <c r="G93" i="33"/>
  <c r="F93" i="33"/>
  <c r="E93" i="33"/>
  <c r="D92" i="33"/>
  <c r="D91" i="33"/>
  <c r="D90" i="33"/>
  <c r="D89" i="33"/>
  <c r="D88" i="33"/>
  <c r="D87" i="33"/>
  <c r="D86" i="33"/>
  <c r="P85" i="33"/>
  <c r="O85" i="33"/>
  <c r="N85" i="33"/>
  <c r="M85" i="33"/>
  <c r="L85" i="33"/>
  <c r="K85" i="33"/>
  <c r="J85" i="33"/>
  <c r="I85" i="33"/>
  <c r="H85" i="33"/>
  <c r="G85" i="33"/>
  <c r="F85" i="33"/>
  <c r="E85" i="33"/>
  <c r="D84" i="33"/>
  <c r="D83" i="33"/>
  <c r="D82" i="33"/>
  <c r="D81" i="33"/>
  <c r="D80" i="33"/>
  <c r="D79" i="33"/>
  <c r="P78" i="33"/>
  <c r="O78" i="33"/>
  <c r="N78" i="33"/>
  <c r="M78" i="33"/>
  <c r="L78" i="33"/>
  <c r="K78" i="33"/>
  <c r="J78" i="33"/>
  <c r="I78" i="33"/>
  <c r="H78" i="33"/>
  <c r="G78" i="33"/>
  <c r="F78" i="33"/>
  <c r="E78" i="33"/>
  <c r="D77" i="33"/>
  <c r="D76" i="33"/>
  <c r="D75" i="33"/>
  <c r="D74" i="33"/>
  <c r="D73" i="33"/>
  <c r="D72" i="33"/>
  <c r="D71" i="33"/>
  <c r="D70" i="33"/>
  <c r="D69" i="33"/>
  <c r="D68" i="33"/>
  <c r="D67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5" i="33"/>
  <c r="D64" i="33"/>
  <c r="D63" i="33"/>
  <c r="D62" i="33"/>
  <c r="D61" i="33"/>
  <c r="D60" i="33"/>
  <c r="D59" i="33"/>
  <c r="D58" i="33"/>
  <c r="P57" i="33"/>
  <c r="O57" i="33"/>
  <c r="N57" i="33"/>
  <c r="M57" i="33"/>
  <c r="L57" i="33"/>
  <c r="K57" i="33"/>
  <c r="J57" i="33"/>
  <c r="I57" i="33"/>
  <c r="H57" i="33"/>
  <c r="G57" i="33"/>
  <c r="F57" i="33"/>
  <c r="E57" i="33"/>
  <c r="D56" i="33"/>
  <c r="D55" i="33"/>
  <c r="D54" i="33"/>
  <c r="D53" i="33"/>
  <c r="D52" i="33"/>
  <c r="D51" i="33"/>
  <c r="D50" i="33"/>
  <c r="D49" i="33"/>
  <c r="D48" i="33"/>
  <c r="D47" i="33"/>
  <c r="P46" i="33"/>
  <c r="O46" i="33"/>
  <c r="N46" i="33"/>
  <c r="M46" i="33"/>
  <c r="L46" i="33"/>
  <c r="K46" i="33"/>
  <c r="J46" i="33"/>
  <c r="I46" i="33"/>
  <c r="H46" i="33"/>
  <c r="G46" i="33"/>
  <c r="F46" i="33"/>
  <c r="E46" i="33"/>
  <c r="D45" i="33"/>
  <c r="D44" i="33"/>
  <c r="D43" i="33"/>
  <c r="D42" i="33"/>
  <c r="D41" i="33"/>
  <c r="D40" i="33"/>
  <c r="D39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7" i="33"/>
  <c r="D36" i="33"/>
  <c r="D35" i="33"/>
  <c r="D34" i="33"/>
  <c r="D33" i="33"/>
  <c r="D32" i="33"/>
  <c r="D31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29" i="33"/>
  <c r="D28" i="33"/>
  <c r="D27" i="33"/>
  <c r="D26" i="33"/>
  <c r="D25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P5" i="33"/>
  <c r="O5" i="33"/>
  <c r="N5" i="33"/>
  <c r="M5" i="33"/>
  <c r="L5" i="33"/>
  <c r="K5" i="33"/>
  <c r="J5" i="33"/>
  <c r="I5" i="33"/>
  <c r="H5" i="33"/>
  <c r="G5" i="33"/>
  <c r="F5" i="33"/>
  <c r="E5" i="33"/>
  <c r="D118" i="37" l="1"/>
  <c r="D136" i="37"/>
  <c r="D93" i="37"/>
  <c r="D66" i="37"/>
  <c r="D30" i="37"/>
  <c r="D24" i="37"/>
  <c r="D136" i="36"/>
  <c r="D124" i="36"/>
  <c r="D30" i="36"/>
  <c r="D93" i="36"/>
  <c r="D85" i="36"/>
  <c r="D96" i="36"/>
  <c r="E4" i="36"/>
  <c r="D46" i="36"/>
  <c r="D66" i="36"/>
  <c r="O4" i="36"/>
  <c r="L4" i="36"/>
  <c r="J4" i="36"/>
  <c r="D96" i="35"/>
  <c r="D136" i="35"/>
  <c r="D38" i="35"/>
  <c r="D46" i="35"/>
  <c r="D124" i="34"/>
  <c r="D127" i="34"/>
  <c r="D93" i="34"/>
  <c r="F4" i="34"/>
  <c r="D38" i="34"/>
  <c r="D78" i="34"/>
  <c r="D140" i="34"/>
  <c r="E136" i="34"/>
  <c r="E4" i="34" s="1"/>
  <c r="J4" i="37"/>
  <c r="N4" i="37"/>
  <c r="F4" i="37"/>
  <c r="H4" i="37"/>
  <c r="G4" i="37"/>
  <c r="D96" i="37"/>
  <c r="D141" i="37"/>
  <c r="D57" i="37"/>
  <c r="E4" i="37"/>
  <c r="O4" i="37"/>
  <c r="D38" i="37"/>
  <c r="K4" i="37"/>
  <c r="P4" i="37"/>
  <c r="D79" i="37"/>
  <c r="D81" i="37"/>
  <c r="D85" i="37"/>
  <c r="D127" i="37"/>
  <c r="D146" i="37"/>
  <c r="D124" i="37"/>
  <c r="D151" i="37"/>
  <c r="M4" i="37"/>
  <c r="D108" i="37"/>
  <c r="F4" i="36"/>
  <c r="D108" i="36"/>
  <c r="G4" i="36"/>
  <c r="D141" i="36"/>
  <c r="P4" i="36"/>
  <c r="I4" i="36"/>
  <c r="D24" i="36"/>
  <c r="D127" i="36"/>
  <c r="D38" i="36"/>
  <c r="D118" i="36"/>
  <c r="D78" i="36"/>
  <c r="D57" i="36"/>
  <c r="D148" i="36"/>
  <c r="D146" i="36" s="1"/>
  <c r="K4" i="36"/>
  <c r="N4" i="36"/>
  <c r="M4" i="36"/>
  <c r="D151" i="36"/>
  <c r="D30" i="35"/>
  <c r="E5" i="35"/>
  <c r="D93" i="35"/>
  <c r="D66" i="35"/>
  <c r="D78" i="35"/>
  <c r="D106" i="35"/>
  <c r="D85" i="35"/>
  <c r="D127" i="35"/>
  <c r="D118" i="35"/>
  <c r="D116" i="35"/>
  <c r="D24" i="35"/>
  <c r="D108" i="35"/>
  <c r="D124" i="35"/>
  <c r="D141" i="35"/>
  <c r="D146" i="35"/>
  <c r="E151" i="35"/>
  <c r="D57" i="35"/>
  <c r="G4" i="34"/>
  <c r="J4" i="34"/>
  <c r="D85" i="34"/>
  <c r="D118" i="34"/>
  <c r="D151" i="34"/>
  <c r="D96" i="34"/>
  <c r="O4" i="34"/>
  <c r="D24" i="34"/>
  <c r="D108" i="34"/>
  <c r="L4" i="34"/>
  <c r="M4" i="34"/>
  <c r="D136" i="34"/>
  <c r="D66" i="34"/>
  <c r="P4" i="34"/>
  <c r="I4" i="34"/>
  <c r="D30" i="34"/>
  <c r="D146" i="34"/>
  <c r="D106" i="33"/>
  <c r="I4" i="33"/>
  <c r="H4" i="33"/>
  <c r="J4" i="33"/>
  <c r="D30" i="33"/>
  <c r="D24" i="33"/>
  <c r="D96" i="33"/>
  <c r="D57" i="33"/>
  <c r="D116" i="33"/>
  <c r="D46" i="33"/>
  <c r="D38" i="33"/>
  <c r="D85" i="33"/>
  <c r="D127" i="33"/>
  <c r="F4" i="33"/>
  <c r="D66" i="33"/>
  <c r="E4" i="33"/>
  <c r="D78" i="33"/>
  <c r="D93" i="33"/>
  <c r="G4" i="33"/>
  <c r="P4" i="33"/>
  <c r="O4" i="33"/>
  <c r="L4" i="33"/>
  <c r="M4" i="33"/>
  <c r="D151" i="33"/>
  <c r="D108" i="33"/>
  <c r="D124" i="33"/>
  <c r="D146" i="33"/>
  <c r="K4" i="33"/>
  <c r="N4" i="33"/>
  <c r="D5" i="33"/>
  <c r="D118" i="33"/>
  <c r="H4" i="34"/>
  <c r="D136" i="33"/>
  <c r="D141" i="33"/>
  <c r="D5" i="34"/>
  <c r="K4" i="34"/>
  <c r="D57" i="34"/>
  <c r="D46" i="34"/>
  <c r="N136" i="34"/>
  <c r="D141" i="34"/>
  <c r="H4" i="36"/>
  <c r="D5" i="36"/>
  <c r="D153" i="35"/>
  <c r="I4" i="37"/>
  <c r="D5" i="37"/>
  <c r="L4" i="37"/>
  <c r="D46" i="37"/>
  <c r="D78" i="37" l="1"/>
  <c r="D4" i="36"/>
  <c r="F5" i="35"/>
  <c r="F4" i="35" s="1"/>
  <c r="E4" i="35"/>
  <c r="D4" i="33"/>
  <c r="D4" i="37"/>
  <c r="D4" i="34"/>
  <c r="N4" i="34"/>
  <c r="D151" i="35"/>
  <c r="G5" i="35" l="1"/>
  <c r="H5" i="35" l="1"/>
  <c r="H4" i="35" s="1"/>
  <c r="G4" i="35"/>
  <c r="I5" i="35" l="1"/>
  <c r="I4" i="35" s="1"/>
  <c r="J5" i="35" l="1"/>
  <c r="J4" i="35" l="1"/>
  <c r="K5" i="35"/>
  <c r="K4" i="35" s="1"/>
  <c r="L5" i="35" l="1"/>
  <c r="L4" i="35" s="1"/>
  <c r="M5" i="35" l="1"/>
  <c r="M4" i="35" l="1"/>
  <c r="N5" i="35"/>
  <c r="N4" i="35" s="1"/>
  <c r="D21" i="35"/>
  <c r="O5" i="35" l="1"/>
  <c r="O4" i="35" s="1"/>
  <c r="D22" i="35" l="1"/>
  <c r="P5" i="35"/>
  <c r="P4" i="35" l="1"/>
  <c r="D5" i="35"/>
  <c r="D4" i="35" s="1"/>
</calcChain>
</file>

<file path=xl/sharedStrings.xml><?xml version="1.0" encoding="utf-8"?>
<sst xmlns="http://schemas.openxmlformats.org/spreadsheetml/2006/main" count="2157" uniqueCount="233">
  <si>
    <t>계정</t>
  </si>
  <si>
    <t>예산통제항목</t>
  </si>
  <si>
    <t>계정코드</t>
  </si>
  <si>
    <t>-</t>
  </si>
  <si>
    <t>Ⅳ.제조경비</t>
  </si>
  <si>
    <t>1.복리후생비</t>
  </si>
  <si>
    <t>복리후생비-통근비(제조)</t>
  </si>
  <si>
    <t>통근비(제조)</t>
  </si>
  <si>
    <t>복리후생비-직원이전비(제조)</t>
  </si>
  <si>
    <t>직원이전비(제조)</t>
  </si>
  <si>
    <t>복리후생비-당직비(제조)</t>
  </si>
  <si>
    <t>당직비(제조)</t>
  </si>
  <si>
    <t>복리후생비-복지시설이용비(제조)</t>
  </si>
  <si>
    <t>복지시설이용비(제조)</t>
  </si>
  <si>
    <t>복리후생비-후생비(제조)</t>
  </si>
  <si>
    <t>후생비</t>
  </si>
  <si>
    <t>복리후생비-사내경조비(제조)</t>
  </si>
  <si>
    <t>복리후생비-지원보조비(제조)</t>
  </si>
  <si>
    <t>준인건비(기본)</t>
  </si>
  <si>
    <t>복리후생비-피복제비(제조)</t>
  </si>
  <si>
    <t>피복제비(제조)</t>
  </si>
  <si>
    <t>복리후생비-의료위생비(제조)</t>
  </si>
  <si>
    <t>의료위생비(제조)</t>
  </si>
  <si>
    <t>복리후생비-단체시상비(제조)</t>
  </si>
  <si>
    <t>단체시상비(제조)</t>
  </si>
  <si>
    <t>복리후생비-문화써클보조비(제조)</t>
  </si>
  <si>
    <t>문화써클보조비(제조)</t>
  </si>
  <si>
    <t>복리후생비-친선활동비(제조)</t>
  </si>
  <si>
    <t>친선활동비(제조)</t>
  </si>
  <si>
    <t>복리후생비-특근급식비(제조)</t>
  </si>
  <si>
    <t>복리후생비-식당제경비(제조)</t>
  </si>
  <si>
    <t>식당제경비(제조)</t>
  </si>
  <si>
    <t>복리후생비-식당주부식비(제조)</t>
  </si>
  <si>
    <t>식당주부식비(제조)</t>
  </si>
  <si>
    <t>복리후생비-법정후생비(제조)</t>
  </si>
  <si>
    <t>복리후생비-식당운영비(제조)</t>
  </si>
  <si>
    <t>복리후생비-부서활동비(제조)</t>
  </si>
  <si>
    <t>2.여비교통비</t>
  </si>
  <si>
    <t>여비교통비-해외출장비(제조)</t>
  </si>
  <si>
    <t>해외출장비</t>
  </si>
  <si>
    <t>여비교통비-시외출장비(제조)</t>
  </si>
  <si>
    <t>시외출장비(제조)</t>
  </si>
  <si>
    <t>여비교통비-시내출장비(제조)</t>
  </si>
  <si>
    <t>시내출장비(제조)</t>
  </si>
  <si>
    <t>여비교통비-자가운전보조비(제조)</t>
  </si>
  <si>
    <t>자가운전보조비(제조)</t>
  </si>
  <si>
    <t>여비교통비-해외여비(제조)</t>
  </si>
  <si>
    <t>3.통신비</t>
  </si>
  <si>
    <t>통신비-시설유지비(제조)</t>
  </si>
  <si>
    <t>통신비(제조)</t>
  </si>
  <si>
    <t>통신비-정보통신사용료(제조)</t>
  </si>
  <si>
    <t>통신비-우편전보료(제조)</t>
  </si>
  <si>
    <t>우편전보료(제조)</t>
  </si>
  <si>
    <t>통신비-국제전화료(제조)</t>
  </si>
  <si>
    <t>통신비-시외전화료(제조)</t>
  </si>
  <si>
    <t>통신비-시내전화료(제조)</t>
  </si>
  <si>
    <t>통신비-전화료(제조)</t>
  </si>
  <si>
    <t>4.수도광열비</t>
  </si>
  <si>
    <t>수도광열비-수도료(제조)</t>
  </si>
  <si>
    <t>수도광열비(제조)</t>
  </si>
  <si>
    <t>수도광열비-점등료(제조)</t>
  </si>
  <si>
    <t>수도광열비-전력료(제조)</t>
  </si>
  <si>
    <t>수도광열비-난방비(제조)</t>
  </si>
  <si>
    <t>수도광열비-연료비(제조)</t>
  </si>
  <si>
    <t>수도광열비-발전유류비(제조)</t>
  </si>
  <si>
    <t>수도광열비-연료난방비(제조)</t>
  </si>
  <si>
    <t>5.세금과공과</t>
  </si>
  <si>
    <t>세금과공과-인지세(제조)</t>
  </si>
  <si>
    <t>세금과공과(제조)</t>
  </si>
  <si>
    <t>세금과공과-주민세(제조)</t>
  </si>
  <si>
    <t>세금과공과-종업원분소득세(제조)</t>
  </si>
  <si>
    <t>세금과공과-재산세(제조)</t>
  </si>
  <si>
    <t>세금과공과-차량세(제조)</t>
  </si>
  <si>
    <t>세금과공과-면허세(제조)</t>
  </si>
  <si>
    <t>세금과공과-기타제세(제조)</t>
  </si>
  <si>
    <t>세금과공과-종합부동산세(제조)</t>
  </si>
  <si>
    <t>세금과공과-협회비(제조)</t>
    <phoneticPr fontId="6" type="noConversion"/>
  </si>
  <si>
    <t>세금과공과(제조)</t>
    <phoneticPr fontId="6" type="noConversion"/>
  </si>
  <si>
    <t>세금과공과-공과금(제조)</t>
  </si>
  <si>
    <t>공과금</t>
  </si>
  <si>
    <t>6.지급임차료</t>
  </si>
  <si>
    <t>지급임차료-건물임차료(제조)</t>
  </si>
  <si>
    <t>지급임차료(제조)</t>
  </si>
  <si>
    <t>지급임차료-토지임차료(제조)</t>
  </si>
  <si>
    <t>지급임차료-기계임차료(제조)</t>
  </si>
  <si>
    <t>지급임차료-점용료(제조)</t>
  </si>
  <si>
    <t>지급임차료-권리사용료(제조)</t>
  </si>
  <si>
    <t>권리사용료(제조)</t>
  </si>
  <si>
    <t>지급임차료-차량임차료(제조)</t>
  </si>
  <si>
    <t>지급임차료-차량렌트료(제조)</t>
  </si>
  <si>
    <t>지급임차료-차량리스료(제조)</t>
  </si>
  <si>
    <t>7.감가상각비</t>
  </si>
  <si>
    <t>감가상각비-건물(제조)</t>
  </si>
  <si>
    <t>감가상각비</t>
  </si>
  <si>
    <t>감가상각비-구축물(제조)</t>
  </si>
  <si>
    <t>감가상각비-기계장치(제조)</t>
  </si>
  <si>
    <t>감가상각비-공구기구비품(제조)</t>
  </si>
  <si>
    <t>감가상각비-차량운반구(제조)</t>
  </si>
  <si>
    <t>감가상각비-광고시설물(제조)</t>
  </si>
  <si>
    <t>감가상각비-산업재산권(제조)</t>
  </si>
  <si>
    <t>감가상각비-개발비(제조)</t>
  </si>
  <si>
    <t>감가상각비-소프트웨어(제조)</t>
  </si>
  <si>
    <t>감가상각비-임차자산개량(제조)</t>
  </si>
  <si>
    <t>감가상각비-비품(제조)</t>
  </si>
  <si>
    <t>8.수선비</t>
  </si>
  <si>
    <t>수선비-건물(제조)</t>
  </si>
  <si>
    <t>수선비(제조)</t>
  </si>
  <si>
    <t>수선비-구축물(제조)</t>
  </si>
  <si>
    <t>수선비-기계장치(제조)</t>
  </si>
  <si>
    <t>수선비-공구기구비품(제조)</t>
  </si>
  <si>
    <t>수선비-안전보건비(제조)</t>
    <phoneticPr fontId="6" type="noConversion"/>
  </si>
  <si>
    <t>수선비(제조)</t>
    <phoneticPr fontId="6" type="noConversion"/>
  </si>
  <si>
    <t>수선비-안전보건비_출고(제조)</t>
    <phoneticPr fontId="6" type="noConversion"/>
  </si>
  <si>
    <t>5110160</t>
  </si>
  <si>
    <t>9.보험료</t>
  </si>
  <si>
    <t>보험료-건물(제조)</t>
  </si>
  <si>
    <t>보험료(제조)</t>
  </si>
  <si>
    <t>보험료-기계장치(제조)</t>
  </si>
  <si>
    <t>보험료-재고품(제조)</t>
  </si>
  <si>
    <t>보험료-책임(제조)</t>
  </si>
  <si>
    <t>보험료-종합(제조)</t>
  </si>
  <si>
    <t>보험료-제보험(제조)</t>
  </si>
  <si>
    <t>보험료-차량(제조)</t>
  </si>
  <si>
    <t>10.접대비</t>
  </si>
  <si>
    <t>접대비-교제비(제조)</t>
  </si>
  <si>
    <t>교제비(제조)</t>
  </si>
  <si>
    <t>접대비-사외경조비(제조)</t>
  </si>
  <si>
    <t>11.경상연구개발비</t>
  </si>
  <si>
    <t>경상연구개발비-품질검정비(제조)</t>
  </si>
  <si>
    <t>품질검정비(제조)</t>
  </si>
  <si>
    <t>경상연구개발비-검정수수료(제조)</t>
  </si>
  <si>
    <t>검정수수료(제조)</t>
  </si>
  <si>
    <t>경상연구개발비-실험재료비_출고(제조)</t>
  </si>
  <si>
    <t>실험재료비(제조)</t>
  </si>
  <si>
    <t>경상연구개발비-실험시약비_출고(제조)</t>
  </si>
  <si>
    <t>경상연구개발비-외부실험비(제조)</t>
  </si>
  <si>
    <t>외부실험비(제조)</t>
  </si>
  <si>
    <t>경상연구개발비-실험재료비(제조)</t>
  </si>
  <si>
    <t>경상연구개발비-실험시약비(제조)</t>
  </si>
  <si>
    <t>경상연구개발비-품질검정비_출고(제조)</t>
  </si>
  <si>
    <t>경상연구개발비-실험재료관리비(제조)</t>
  </si>
  <si>
    <t>실험재료관리비(제조)</t>
  </si>
  <si>
    <t>12.운반비</t>
  </si>
  <si>
    <t>운반비-운임(제조)</t>
  </si>
  <si>
    <t>운반비(제조)</t>
  </si>
  <si>
    <t>13.차량비</t>
  </si>
  <si>
    <t>차량비-수리비(제조)</t>
  </si>
  <si>
    <t>차량유지비(제조)</t>
  </si>
  <si>
    <t>차량비-검사비(제조)</t>
  </si>
  <si>
    <t>차량비-유류비(제조)</t>
  </si>
  <si>
    <t>차량유류비(제조)</t>
  </si>
  <si>
    <t>차량비-소모품비(제조)</t>
  </si>
  <si>
    <t>차량비-주행주차비(제조)</t>
  </si>
  <si>
    <t>차량비-운행경비(제조)</t>
  </si>
  <si>
    <t>차량비-관리비(제조)</t>
  </si>
  <si>
    <t>14.홍보비</t>
  </si>
  <si>
    <t>홍보비-홍보비(제조)</t>
  </si>
  <si>
    <t>홍보비(제조)</t>
  </si>
  <si>
    <t>15.교육훈련비</t>
  </si>
  <si>
    <t>교육훈련비-사내교육훈련비(제조)</t>
  </si>
  <si>
    <t>사내교육훈련비</t>
  </si>
  <si>
    <t>교육훈련비-향군훈련비(제조)</t>
  </si>
  <si>
    <t>향군훈련비(제조)</t>
  </si>
  <si>
    <t>교육훈련비-사외교육훈련비(제조)</t>
  </si>
  <si>
    <t>사외교육훈련비</t>
  </si>
  <si>
    <t>교육훈련비-회의비(제조)</t>
  </si>
  <si>
    <t>교육훈련비-업무추진비(제조)</t>
  </si>
  <si>
    <t>16.사업진행비</t>
    <phoneticPr fontId="6" type="noConversion"/>
  </si>
  <si>
    <t>사업진행비-회의비(제조)</t>
    <phoneticPr fontId="6" type="noConversion"/>
  </si>
  <si>
    <t>회의비(제조)</t>
  </si>
  <si>
    <t>사업진행비-사업진행비(제조)</t>
    <phoneticPr fontId="6" type="noConversion"/>
  </si>
  <si>
    <t>사업진행비(제조)</t>
    <phoneticPr fontId="6" type="noConversion"/>
  </si>
  <si>
    <t>17.도서문구비</t>
  </si>
  <si>
    <t>도서문구비-도서비(제조)</t>
  </si>
  <si>
    <t>도서비(제조)</t>
  </si>
  <si>
    <t>도서문구비-신문구독료(제조)</t>
  </si>
  <si>
    <t>신문구독료(제조)</t>
  </si>
  <si>
    <t>도서문구비-잡지구독료(제조)</t>
  </si>
  <si>
    <t>잡지구독료(제조)</t>
  </si>
  <si>
    <t>도서문구비-자료구독료(제조)</t>
  </si>
  <si>
    <t>자료구독료</t>
  </si>
  <si>
    <t>도서문구비-사무용품비(제조)</t>
  </si>
  <si>
    <t>사무용품비(제조)</t>
  </si>
  <si>
    <t>도서문구비-용지비(제조)</t>
  </si>
  <si>
    <t>용지비(제조)</t>
  </si>
  <si>
    <t>도서문구비-정기구독료(제조)</t>
  </si>
  <si>
    <t>도서문구비-사무용품비_출고(제조)</t>
  </si>
  <si>
    <t>사무용품비_출고(제조)</t>
  </si>
  <si>
    <t>18.소모품비</t>
  </si>
  <si>
    <t>소모품비-소모성기구비(제조)</t>
  </si>
  <si>
    <t>소모품비(제조)</t>
  </si>
  <si>
    <t>소모품비-소모성소모품관리비(제조)</t>
  </si>
  <si>
    <t>소모품비-소모성잡품비(제조)</t>
  </si>
  <si>
    <t>소모품비-소모성소모품비(제조)</t>
  </si>
  <si>
    <t>19.지급수수료</t>
  </si>
  <si>
    <t>지급수수료(제조)</t>
  </si>
  <si>
    <t>금융수수료(제조)</t>
  </si>
  <si>
    <t>외주가공수수료(제조)</t>
  </si>
  <si>
    <t>제수수료(제조)</t>
  </si>
  <si>
    <t>수수료(제조)</t>
  </si>
  <si>
    <t>20.용역비</t>
  </si>
  <si>
    <t>용역비-제품(제조)</t>
  </si>
  <si>
    <t>제품용역비(제조)</t>
  </si>
  <si>
    <t>용역비-전산(제조)</t>
  </si>
  <si>
    <t>전산용역비(제조)</t>
  </si>
  <si>
    <t>용역비-시설관리(제조)</t>
  </si>
  <si>
    <t>용역비-시설관리비(제조)</t>
  </si>
  <si>
    <t>용역비-기타(제조)</t>
  </si>
  <si>
    <t>기타용역비(제조)</t>
  </si>
  <si>
    <t>21.잡비</t>
  </si>
  <si>
    <t>잡비-조원비(제조)</t>
  </si>
  <si>
    <t>조원비(제조)</t>
  </si>
  <si>
    <t>잡비-환경미화비(제조)</t>
  </si>
  <si>
    <t>환경미화비(제조)</t>
  </si>
  <si>
    <t>잡비-기타(제조)</t>
  </si>
  <si>
    <t>잡비(제조)</t>
  </si>
  <si>
    <t>SM_SMF</t>
  </si>
  <si>
    <t>송도공장</t>
    <phoneticPr fontId="6" type="noConversion"/>
  </si>
  <si>
    <t>SM_SAO</t>
  </si>
  <si>
    <t>송도공장제조팀</t>
    <phoneticPr fontId="6" type="noConversion"/>
  </si>
  <si>
    <t>SM_SVO</t>
  </si>
  <si>
    <t>송도공장밸리데이션팀</t>
    <phoneticPr fontId="6" type="noConversion"/>
  </si>
  <si>
    <t>경상연구개발비-실험재료관리비</t>
    <phoneticPr fontId="6" type="noConversion"/>
  </si>
  <si>
    <t>SM_SDO</t>
  </si>
  <si>
    <t>송도공장생산지원팀</t>
  </si>
  <si>
    <t>2026.'10</t>
    <phoneticPr fontId="3" type="noConversion"/>
  </si>
  <si>
    <t>SM_SHO</t>
  </si>
  <si>
    <t>송도공장설비관리팀</t>
    <phoneticPr fontId="6" type="noConversion"/>
  </si>
  <si>
    <t>SM_QSF</t>
    <phoneticPr fontId="6" type="noConversion"/>
  </si>
  <si>
    <t>품질경영실품질관리6팀</t>
    <phoneticPr fontId="6" type="noConversion"/>
  </si>
  <si>
    <t>계정</t>
    <phoneticPr fontId="6" type="noConversion"/>
  </si>
  <si>
    <t>SM_SQA</t>
  </si>
  <si>
    <t>품질경영실품질보증3팀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</si>
</sst>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4" fillId="0" borderId="0" xfId="1">
      <alignment vertical="center"/>
    </xf>
    <xf numFmtId="0" fontId="4" fillId="0" borderId="0" xfId="1" applyAlignment="1">
      <alignment horizontal="center" vertical="center"/>
    </xf>
    <xf numFmtId="0" fontId="2" fillId="0" borderId="0" xfId="2"/>
    <xf numFmtId="0" fontId="5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5" fillId="3" borderId="1" xfId="3" applyNumberFormat="1" applyFont="1" applyFill="1" applyBorder="1" applyAlignment="1">
      <alignment horizontal="center" vertical="center"/>
    </xf>
    <xf numFmtId="0" fontId="2" fillId="4" borderId="3" xfId="4" applyFill="1" applyBorder="1"/>
    <xf numFmtId="0" fontId="4" fillId="4" borderId="0" xfId="1" applyFill="1" applyBorder="1">
      <alignment vertical="center"/>
    </xf>
    <xf numFmtId="0" fontId="4" fillId="4" borderId="0" xfId="1" applyFill="1" applyBorder="1" applyAlignment="1">
      <alignment horizontal="center" vertical="center"/>
    </xf>
    <xf numFmtId="3" fontId="4" fillId="4" borderId="4" xfId="1" applyNumberFormat="1" applyFill="1" applyBorder="1">
      <alignment vertical="center"/>
    </xf>
    <xf numFmtId="0" fontId="4" fillId="0" borderId="0" xfId="1" applyBorder="1">
      <alignment vertical="center"/>
    </xf>
    <xf numFmtId="0" fontId="4" fillId="0" borderId="0" xfId="1" applyBorder="1" applyAlignment="1">
      <alignment horizontal="center" vertical="center"/>
    </xf>
    <xf numFmtId="3" fontId="4" fillId="0" borderId="4" xfId="1" applyNumberFormat="1" applyBorder="1">
      <alignment vertical="center"/>
    </xf>
    <xf numFmtId="3" fontId="4" fillId="0" borderId="7" xfId="1" applyNumberFormat="1" applyBorder="1">
      <alignment vertical="center"/>
    </xf>
    <xf numFmtId="0" fontId="2" fillId="5" borderId="3" xfId="4" applyFill="1" applyBorder="1" applyAlignment="1">
      <alignment horizontal="left" indent="1"/>
    </xf>
    <xf numFmtId="0" fontId="4" fillId="5" borderId="0" xfId="1" applyFill="1" applyBorder="1">
      <alignment vertical="center"/>
    </xf>
    <xf numFmtId="0" fontId="4" fillId="5" borderId="0" xfId="1" applyFill="1" applyBorder="1" applyAlignment="1">
      <alignment horizontal="center" vertical="center"/>
    </xf>
    <xf numFmtId="3" fontId="4" fillId="5" borderId="4" xfId="5" applyNumberFormat="1" applyFill="1" applyBorder="1">
      <alignment vertical="center"/>
    </xf>
    <xf numFmtId="0" fontId="2" fillId="0" borderId="3" xfId="4" applyBorder="1" applyAlignment="1">
      <alignment horizontal="left" indent="2"/>
    </xf>
    <xf numFmtId="3" fontId="4" fillId="0" borderId="4" xfId="5" applyNumberFormat="1" applyBorder="1">
      <alignment vertical="center"/>
    </xf>
    <xf numFmtId="3" fontId="0" fillId="0" borderId="4" xfId="0" applyNumberFormat="1" applyBorder="1">
      <alignment vertical="center"/>
    </xf>
    <xf numFmtId="0" fontId="2" fillId="0" borderId="0" xfId="4" applyBorder="1" applyAlignment="1">
      <alignment horizontal="left" indent="2"/>
    </xf>
    <xf numFmtId="0" fontId="4" fillId="0" borderId="0" xfId="1" applyFill="1" applyBorder="1">
      <alignment vertical="center"/>
    </xf>
    <xf numFmtId="3" fontId="4" fillId="4" borderId="4" xfId="5" applyNumberFormat="1" applyFill="1" applyBorder="1">
      <alignment vertical="center"/>
    </xf>
    <xf numFmtId="3" fontId="4" fillId="5" borderId="4" xfId="1" applyNumberFormat="1" applyFill="1" applyBorder="1">
      <alignment vertical="center"/>
    </xf>
    <xf numFmtId="3" fontId="4" fillId="5" borderId="7" xfId="1" applyNumberFormat="1" applyFill="1" applyBorder="1">
      <alignment vertical="center"/>
    </xf>
    <xf numFmtId="3" fontId="4" fillId="5" borderId="3" xfId="5" applyNumberFormat="1" applyFill="1" applyBorder="1">
      <alignment vertical="center"/>
    </xf>
    <xf numFmtId="3" fontId="4" fillId="5" borderId="6" xfId="5" applyNumberFormat="1" applyFill="1" applyBorder="1">
      <alignment vertical="center"/>
    </xf>
    <xf numFmtId="3" fontId="4" fillId="0" borderId="3" xfId="5" applyNumberFormat="1" applyBorder="1">
      <alignment vertical="center"/>
    </xf>
    <xf numFmtId="3" fontId="4" fillId="0" borderId="5" xfId="5" applyNumberFormat="1" applyBorder="1">
      <alignment vertical="center"/>
    </xf>
    <xf numFmtId="3" fontId="4" fillId="0" borderId="6" xfId="5" applyNumberFormat="1" applyBorder="1">
      <alignment vertical="center"/>
    </xf>
    <xf numFmtId="0" fontId="2" fillId="0" borderId="3" xfId="4" applyFill="1" applyBorder="1" applyAlignment="1">
      <alignment horizontal="left" indent="2"/>
    </xf>
    <xf numFmtId="3" fontId="4" fillId="0" borderId="3" xfId="5" applyNumberFormat="1" applyFill="1" applyBorder="1">
      <alignment vertical="center"/>
    </xf>
    <xf numFmtId="0" fontId="2" fillId="0" borderId="8" xfId="4" applyBorder="1" applyAlignment="1">
      <alignment horizontal="left" indent="2"/>
    </xf>
    <xf numFmtId="0" fontId="4" fillId="0" borderId="9" xfId="1" applyBorder="1">
      <alignment vertical="center"/>
    </xf>
    <xf numFmtId="0" fontId="4" fillId="0" borderId="9" xfId="1" applyBorder="1" applyAlignment="1">
      <alignment horizontal="center" vertical="center"/>
    </xf>
    <xf numFmtId="3" fontId="4" fillId="0" borderId="10" xfId="5" applyNumberFormat="1" applyBorder="1">
      <alignment vertical="center"/>
    </xf>
    <xf numFmtId="3" fontId="4" fillId="0" borderId="10" xfId="1" applyNumberFormat="1" applyBorder="1">
      <alignment vertical="center"/>
    </xf>
    <xf numFmtId="3" fontId="4" fillId="0" borderId="8" xfId="5" applyNumberFormat="1" applyBorder="1">
      <alignment vertical="center"/>
    </xf>
    <xf numFmtId="0" fontId="2" fillId="0" borderId="3" xfId="4" applyBorder="1" applyAlignment="1">
      <alignment horizontal="left" vertical="center" indent="2"/>
    </xf>
    <xf numFmtId="0" fontId="4" fillId="0" borderId="0" xfId="1" applyFont="1" applyFill="1" applyBorder="1">
      <alignment vertical="center"/>
    </xf>
    <xf numFmtId="0" fontId="4" fillId="0" borderId="0" xfId="5">
      <alignment vertical="center"/>
    </xf>
    <xf numFmtId="0" fontId="4" fillId="0" borderId="0" xfId="5" applyAlignment="1">
      <alignment horizontal="center" vertical="center"/>
    </xf>
    <xf numFmtId="0" fontId="5" fillId="3" borderId="1" xfId="3" quotePrefix="1" applyNumberFormat="1" applyFont="1" applyFill="1" applyBorder="1" applyAlignment="1">
      <alignment horizontal="center" vertical="center"/>
    </xf>
    <xf numFmtId="0" fontId="4" fillId="4" borderId="0" xfId="5" applyFill="1" applyBorder="1">
      <alignment vertical="center"/>
    </xf>
    <xf numFmtId="0" fontId="4" fillId="4" borderId="0" xfId="5" applyFill="1" applyBorder="1" applyAlignment="1">
      <alignment horizontal="center" vertical="center"/>
    </xf>
    <xf numFmtId="0" fontId="4" fillId="0" borderId="0" xfId="5" applyBorder="1">
      <alignment vertical="center"/>
    </xf>
    <xf numFmtId="0" fontId="4" fillId="0" borderId="0" xfId="5" applyBorder="1" applyAlignment="1">
      <alignment horizontal="center" vertical="center"/>
    </xf>
    <xf numFmtId="0" fontId="4" fillId="5" borderId="0" xfId="5" applyFill="1" applyBorder="1">
      <alignment vertical="center"/>
    </xf>
    <xf numFmtId="0" fontId="4" fillId="5" borderId="0" xfId="5" applyFill="1" applyBorder="1" applyAlignment="1">
      <alignment horizontal="center" vertical="center"/>
    </xf>
    <xf numFmtId="0" fontId="4" fillId="0" borderId="0" xfId="5" applyFill="1" applyBorder="1">
      <alignment vertical="center"/>
    </xf>
    <xf numFmtId="0" fontId="4" fillId="0" borderId="9" xfId="5" applyBorder="1">
      <alignment vertical="center"/>
    </xf>
    <xf numFmtId="0" fontId="4" fillId="0" borderId="9" xfId="5" applyBorder="1" applyAlignment="1">
      <alignment horizontal="center" vertical="center"/>
    </xf>
    <xf numFmtId="2" fontId="5" fillId="3" borderId="1" xfId="3" quotePrefix="1" applyNumberFormat="1" applyFont="1" applyFill="1" applyBorder="1" applyAlignment="1">
      <alignment horizontal="center" vertical="center"/>
    </xf>
    <xf numFmtId="3" fontId="4" fillId="6" borderId="4" xfId="5" applyNumberFormat="1" applyFill="1" applyBorder="1">
      <alignment vertical="center"/>
    </xf>
    <xf numFmtId="0" fontId="4" fillId="0" borderId="0" xfId="5" applyFont="1" applyFill="1" applyBorder="1">
      <alignment vertical="center"/>
    </xf>
    <xf numFmtId="0" fontId="5" fillId="0" borderId="0" xfId="1" applyFont="1">
      <alignment vertical="center"/>
    </xf>
    <xf numFmtId="3" fontId="5" fillId="7" borderId="4" xfId="1" applyNumberFormat="1" applyFont="1" applyFill="1" applyBorder="1">
      <alignment vertical="center"/>
    </xf>
    <xf numFmtId="3" fontId="4" fillId="0" borderId="0" xfId="5" applyNumberFormat="1" applyBorder="1">
      <alignment vertical="center"/>
    </xf>
    <xf numFmtId="0" fontId="4" fillId="0" borderId="0" xfId="5" applyFill="1" applyBorder="1" applyAlignment="1">
      <alignment horizontal="center" vertical="center"/>
    </xf>
    <xf numFmtId="3" fontId="4" fillId="0" borderId="4" xfId="5" applyNumberFormat="1" applyFill="1" applyBorder="1">
      <alignment vertical="center"/>
    </xf>
    <xf numFmtId="0" fontId="4" fillId="0" borderId="0" xfId="5" applyFill="1">
      <alignment vertical="center"/>
    </xf>
    <xf numFmtId="3" fontId="4" fillId="5" borderId="0" xfId="5" applyNumberFormat="1" applyFill="1" applyBorder="1">
      <alignment vertical="center"/>
    </xf>
    <xf numFmtId="3" fontId="0" fillId="0" borderId="4" xfId="0" applyNumberFormat="1" applyBorder="1" applyAlignment="1">
      <alignment vertical="center"/>
    </xf>
    <xf numFmtId="3" fontId="5" fillId="7" borderId="4" xfId="5" applyNumberFormat="1" applyFont="1" applyFill="1" applyBorder="1">
      <alignment vertical="center"/>
    </xf>
    <xf numFmtId="0" fontId="1" fillId="0" borderId="0" xfId="8">
      <alignment vertical="center"/>
    </xf>
    <xf numFmtId="0" fontId="1" fillId="0" borderId="0" xfId="8" applyAlignment="1">
      <alignment horizontal="center" vertical="center"/>
    </xf>
    <xf numFmtId="0" fontId="5" fillId="0" borderId="0" xfId="9" applyFont="1">
      <alignment vertical="center"/>
    </xf>
    <xf numFmtId="0" fontId="1" fillId="4" borderId="0" xfId="8" applyFill="1" applyBorder="1">
      <alignment vertical="center"/>
    </xf>
    <xf numFmtId="0" fontId="1" fillId="4" borderId="0" xfId="8" applyFill="1" applyBorder="1" applyAlignment="1">
      <alignment horizontal="center" vertical="center"/>
    </xf>
    <xf numFmtId="3" fontId="1" fillId="4" borderId="4" xfId="8" applyNumberFormat="1" applyFill="1" applyBorder="1">
      <alignment vertical="center"/>
    </xf>
    <xf numFmtId="0" fontId="1" fillId="0" borderId="0" xfId="8" applyBorder="1">
      <alignment vertical="center"/>
    </xf>
    <xf numFmtId="0" fontId="1" fillId="0" borderId="0" xfId="8" applyBorder="1" applyAlignment="1">
      <alignment horizontal="center" vertical="center"/>
    </xf>
    <xf numFmtId="3" fontId="1" fillId="0" borderId="4" xfId="8" applyNumberFormat="1" applyBorder="1">
      <alignment vertical="center"/>
    </xf>
    <xf numFmtId="0" fontId="1" fillId="5" borderId="0" xfId="8" applyFill="1" applyBorder="1">
      <alignment vertical="center"/>
    </xf>
    <xf numFmtId="0" fontId="1" fillId="5" borderId="0" xfId="8" applyFill="1" applyBorder="1" applyAlignment="1">
      <alignment horizontal="center" vertical="center"/>
    </xf>
    <xf numFmtId="3" fontId="1" fillId="5" borderId="4" xfId="8" applyNumberFormat="1" applyFill="1" applyBorder="1">
      <alignment vertical="center"/>
    </xf>
    <xf numFmtId="0" fontId="1" fillId="0" borderId="0" xfId="8" applyFill="1" applyBorder="1">
      <alignment vertical="center"/>
    </xf>
    <xf numFmtId="0" fontId="1" fillId="0" borderId="0" xfId="8" applyFill="1" applyBorder="1" applyAlignment="1">
      <alignment horizontal="center" vertical="center"/>
    </xf>
    <xf numFmtId="3" fontId="1" fillId="0" borderId="4" xfId="8" applyNumberFormat="1" applyFill="1" applyBorder="1">
      <alignment vertical="center"/>
    </xf>
    <xf numFmtId="0" fontId="1" fillId="0" borderId="0" xfId="8" applyFill="1">
      <alignment vertical="center"/>
    </xf>
    <xf numFmtId="3" fontId="5" fillId="7" borderId="4" xfId="8" applyNumberFormat="1" applyFont="1" applyFill="1" applyBorder="1">
      <alignment vertical="center"/>
    </xf>
    <xf numFmtId="0" fontId="2" fillId="0" borderId="0" xfId="4" applyFill="1" applyBorder="1" applyAlignment="1">
      <alignment horizontal="left" indent="2"/>
    </xf>
    <xf numFmtId="0" fontId="1" fillId="0" borderId="9" xfId="8" applyBorder="1">
      <alignment vertical="center"/>
    </xf>
    <xf numFmtId="0" fontId="1" fillId="0" borderId="9" xfId="8" applyBorder="1" applyAlignment="1">
      <alignment horizontal="center" vertical="center"/>
    </xf>
    <xf numFmtId="3" fontId="1" fillId="0" borderId="10" xfId="8" applyNumberFormat="1" applyBorder="1">
      <alignment vertical="center"/>
    </xf>
    <xf numFmtId="0" fontId="1" fillId="0" borderId="0" xfId="8" applyFont="1" applyFill="1" applyBorder="1">
      <alignment vertical="center"/>
    </xf>
  </cellXfs>
  <cellStyles count="10">
    <cellStyle name="백분율 2" xfId="6" xr:uid="{1733F4B2-81BD-4213-A120-0355A046A1EB}"/>
    <cellStyle name="표준" xfId="0" builtinId="0"/>
    <cellStyle name="표준 2 2" xfId="5" xr:uid="{90D34D88-C02C-4BB5-B821-F6B6B306731A}"/>
    <cellStyle name="표준 2 2 2" xfId="7" xr:uid="{2AF5ED62-7700-43ED-A8CD-380EBD503003}"/>
    <cellStyle name="표준 2 2 3" xfId="8" xr:uid="{BB7121B3-7652-43B0-A467-CABE3A9E47F5}"/>
    <cellStyle name="표준 2 3" xfId="1" xr:uid="{FB20F260-BA28-4EA6-A292-6064CE77C34B}"/>
    <cellStyle name="표준 2 3 2" xfId="9" xr:uid="{933EE2BE-E6F4-43B9-BFC3-DC1FEC70984B}"/>
    <cellStyle name="표준_2024년" xfId="2" xr:uid="{BB027EDE-432E-4F88-AF43-75E35DA2B3AA}"/>
    <cellStyle name="표준_Sheet1" xfId="4" xr:uid="{048289F8-A8F7-4543-B2F2-4D98B3B823F8}"/>
    <cellStyle name="표준_인건비" xfId="3" xr:uid="{98DCC4FD-0026-44F7-B921-8E09F5C222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EF46-B1CD-4D4D-A817-4B78C1582F8B}">
  <sheetPr>
    <tabColor theme="9"/>
  </sheetPr>
  <dimension ref="A1:P154"/>
  <sheetViews>
    <sheetView zoomScale="85" zoomScaleNormal="85" workbookViewId="0">
      <pane xSplit="3" ySplit="3" topLeftCell="D4" activePane="bottomRight" state="frozen"/>
      <selection activeCell="AI146" sqref="AI146"/>
      <selection pane="topRight" activeCell="AI146" sqref="AI146"/>
      <selection pane="bottomLeft" activeCell="AI146" sqref="AI146"/>
      <selection pane="bottomRight" activeCell="A13" sqref="A13"/>
    </sheetView>
  </sheetViews>
  <sheetFormatPr defaultColWidth="9" defaultRowHeight="16.5" outlineLevelRow="1" outlineLevelCol="1" x14ac:dyDescent="0.3"/>
  <cols>
    <col min="1" max="1" width="41" style="42" customWidth="1"/>
    <col min="2" max="2" width="27.75" style="42" customWidth="1" outlineLevel="1"/>
    <col min="3" max="3" width="9.25" style="43" customWidth="1" outlineLevel="1"/>
    <col min="4" max="4" width="14.25" style="42" bestFit="1" customWidth="1"/>
    <col min="5" max="16" width="14.25" style="42" customWidth="1" outlineLevel="1"/>
    <col min="17" max="16384" width="9" style="42"/>
  </cols>
  <sheetData>
    <row r="1" spans="1:16" x14ac:dyDescent="0.3">
      <c r="A1" s="56" t="s">
        <v>216</v>
      </c>
    </row>
    <row r="2" spans="1:16" x14ac:dyDescent="0.3">
      <c r="A2" s="3" t="s">
        <v>217</v>
      </c>
    </row>
    <row r="3" spans="1:16" x14ac:dyDescent="0.3">
      <c r="A3" s="4" t="s">
        <v>0</v>
      </c>
      <c r="B3" s="4" t="s">
        <v>1</v>
      </c>
      <c r="C3" s="5" t="s">
        <v>2</v>
      </c>
      <c r="D3" s="6">
        <v>2026</v>
      </c>
      <c r="E3" s="6">
        <v>2026.01</v>
      </c>
      <c r="F3" s="6">
        <v>2026.02</v>
      </c>
      <c r="G3" s="6">
        <v>2026.03</v>
      </c>
      <c r="H3" s="6">
        <v>2026.04</v>
      </c>
      <c r="I3" s="6">
        <v>2026.05</v>
      </c>
      <c r="J3" s="6">
        <v>2026.06</v>
      </c>
      <c r="K3" s="6">
        <v>2026.07</v>
      </c>
      <c r="L3" s="6">
        <v>2026.08</v>
      </c>
      <c r="M3" s="6">
        <v>2026.09</v>
      </c>
      <c r="N3" s="44">
        <v>2026.1</v>
      </c>
      <c r="O3" s="6">
        <v>2026.11</v>
      </c>
      <c r="P3" s="6">
        <v>2026.12</v>
      </c>
    </row>
    <row r="4" spans="1:16" x14ac:dyDescent="0.3">
      <c r="A4" s="7" t="s">
        <v>4</v>
      </c>
      <c r="B4" s="45" t="s">
        <v>3</v>
      </c>
      <c r="C4" s="46"/>
      <c r="D4" s="24">
        <f t="shared" ref="D4:P4" si="0">D5+D24+D30+D38+D46+D57+D66+D78+D85+D93+D96+D106+D108+D116+D118+D124+D127+D136+D141+D146+D151</f>
        <v>46874000</v>
      </c>
      <c r="E4" s="24">
        <f t="shared" si="0"/>
        <v>3839499.3333333335</v>
      </c>
      <c r="F4" s="24">
        <f t="shared" si="0"/>
        <v>3839500.3333333335</v>
      </c>
      <c r="G4" s="24">
        <f t="shared" si="0"/>
        <v>4039500.3333333335</v>
      </c>
      <c r="H4" s="24">
        <f t="shared" si="0"/>
        <v>3839499.3333333335</v>
      </c>
      <c r="I4" s="24">
        <f t="shared" si="0"/>
        <v>3839500.3333333335</v>
      </c>
      <c r="J4" s="24">
        <f t="shared" si="0"/>
        <v>4039500.3333333335</v>
      </c>
      <c r="K4" s="24">
        <f t="shared" si="0"/>
        <v>3839499.3333333335</v>
      </c>
      <c r="L4" s="24">
        <f t="shared" si="0"/>
        <v>3839500.3333333335</v>
      </c>
      <c r="M4" s="24">
        <f t="shared" si="0"/>
        <v>4039500.3333333335</v>
      </c>
      <c r="N4" s="24">
        <f t="shared" si="0"/>
        <v>3839499.3333333335</v>
      </c>
      <c r="O4" s="24">
        <f t="shared" si="0"/>
        <v>3839500.3333333335</v>
      </c>
      <c r="P4" s="24">
        <f t="shared" si="0"/>
        <v>4039500.3333333335</v>
      </c>
    </row>
    <row r="5" spans="1:16" x14ac:dyDescent="0.3">
      <c r="A5" s="15" t="s">
        <v>5</v>
      </c>
      <c r="B5" s="49" t="s">
        <v>3</v>
      </c>
      <c r="C5" s="50"/>
      <c r="D5" s="18">
        <f t="shared" ref="D5:P5" si="1">SUM(D6:D23)</f>
        <v>20874000</v>
      </c>
      <c r="E5" s="18">
        <f t="shared" si="1"/>
        <v>1739500</v>
      </c>
      <c r="F5" s="18">
        <f t="shared" si="1"/>
        <v>1739500</v>
      </c>
      <c r="G5" s="18">
        <f t="shared" si="1"/>
        <v>1739500</v>
      </c>
      <c r="H5" s="18">
        <f t="shared" si="1"/>
        <v>1739500</v>
      </c>
      <c r="I5" s="18">
        <f t="shared" si="1"/>
        <v>1739500</v>
      </c>
      <c r="J5" s="18">
        <f t="shared" si="1"/>
        <v>1739500</v>
      </c>
      <c r="K5" s="18">
        <f t="shared" si="1"/>
        <v>1739500</v>
      </c>
      <c r="L5" s="18">
        <f t="shared" si="1"/>
        <v>1739500</v>
      </c>
      <c r="M5" s="18">
        <f t="shared" si="1"/>
        <v>1739500</v>
      </c>
      <c r="N5" s="18">
        <f t="shared" si="1"/>
        <v>1739500</v>
      </c>
      <c r="O5" s="18">
        <f t="shared" si="1"/>
        <v>1739500</v>
      </c>
      <c r="P5" s="18">
        <f t="shared" si="1"/>
        <v>1739500</v>
      </c>
    </row>
    <row r="6" spans="1:16" outlineLevel="1" x14ac:dyDescent="0.3">
      <c r="A6" s="19" t="s">
        <v>6</v>
      </c>
      <c r="B6" s="47" t="s">
        <v>7</v>
      </c>
      <c r="C6" s="48">
        <v>5103260</v>
      </c>
      <c r="D6" s="20">
        <f t="shared" ref="D6:D23" si="2">SUM(E6:P6)</f>
        <v>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 outlineLevel="1" x14ac:dyDescent="0.3">
      <c r="A7" s="19" t="s">
        <v>8</v>
      </c>
      <c r="B7" s="47" t="s">
        <v>9</v>
      </c>
      <c r="C7" s="48">
        <v>5103250</v>
      </c>
      <c r="D7" s="20">
        <f t="shared" si="2"/>
        <v>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outlineLevel="1" x14ac:dyDescent="0.3">
      <c r="A8" s="19" t="s">
        <v>10</v>
      </c>
      <c r="B8" s="47" t="s">
        <v>11</v>
      </c>
      <c r="C8" s="48">
        <v>5103240</v>
      </c>
      <c r="D8" s="20">
        <f t="shared" si="2"/>
        <v>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outlineLevel="1" x14ac:dyDescent="0.3">
      <c r="A9" s="19" t="s">
        <v>12</v>
      </c>
      <c r="B9" s="47" t="s">
        <v>13</v>
      </c>
      <c r="C9" s="48">
        <v>5103230</v>
      </c>
      <c r="D9" s="20">
        <f t="shared" si="2"/>
        <v>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outlineLevel="1" x14ac:dyDescent="0.3">
      <c r="A10" s="19" t="s">
        <v>14</v>
      </c>
      <c r="B10" s="47" t="s">
        <v>15</v>
      </c>
      <c r="C10" s="48">
        <v>5103220</v>
      </c>
      <c r="D10" s="20">
        <f t="shared" si="2"/>
        <v>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6" outlineLevel="1" x14ac:dyDescent="0.3">
      <c r="A11" s="19" t="s">
        <v>16</v>
      </c>
      <c r="B11" s="47" t="s">
        <v>16</v>
      </c>
      <c r="C11" s="48">
        <v>5103210</v>
      </c>
      <c r="D11" s="20">
        <f t="shared" si="2"/>
        <v>2160000</v>
      </c>
      <c r="E11" s="20">
        <v>180000</v>
      </c>
      <c r="F11" s="20">
        <v>180000</v>
      </c>
      <c r="G11" s="20">
        <v>180000</v>
      </c>
      <c r="H11" s="20">
        <v>180000</v>
      </c>
      <c r="I11" s="20">
        <v>180000</v>
      </c>
      <c r="J11" s="20">
        <v>180000</v>
      </c>
      <c r="K11" s="20">
        <v>180000</v>
      </c>
      <c r="L11" s="20">
        <v>180000</v>
      </c>
      <c r="M11" s="20">
        <v>180000</v>
      </c>
      <c r="N11" s="20">
        <v>180000</v>
      </c>
      <c r="O11" s="20">
        <v>180000</v>
      </c>
      <c r="P11" s="20">
        <v>180000</v>
      </c>
    </row>
    <row r="12" spans="1:16" outlineLevel="1" x14ac:dyDescent="0.3">
      <c r="A12" s="19" t="s">
        <v>17</v>
      </c>
      <c r="B12" s="47" t="s">
        <v>18</v>
      </c>
      <c r="C12" s="48">
        <v>5103190</v>
      </c>
      <c r="D12" s="20">
        <f t="shared" si="2"/>
        <v>234000</v>
      </c>
      <c r="E12" s="20">
        <v>19500</v>
      </c>
      <c r="F12" s="20">
        <v>19500</v>
      </c>
      <c r="G12" s="20">
        <v>19500</v>
      </c>
      <c r="H12" s="20">
        <v>19500</v>
      </c>
      <c r="I12" s="20">
        <v>19500</v>
      </c>
      <c r="J12" s="20">
        <v>19500</v>
      </c>
      <c r="K12" s="20">
        <v>19500</v>
      </c>
      <c r="L12" s="20">
        <v>19500</v>
      </c>
      <c r="M12" s="20">
        <v>19500</v>
      </c>
      <c r="N12" s="20">
        <v>19500</v>
      </c>
      <c r="O12" s="20">
        <v>19500</v>
      </c>
      <c r="P12" s="20">
        <v>19500</v>
      </c>
    </row>
    <row r="13" spans="1:16" outlineLevel="1" x14ac:dyDescent="0.3">
      <c r="A13" s="19" t="s">
        <v>19</v>
      </c>
      <c r="B13" s="47" t="s">
        <v>20</v>
      </c>
      <c r="C13" s="48">
        <v>5103180</v>
      </c>
      <c r="D13" s="20">
        <f t="shared" si="2"/>
        <v>0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 outlineLevel="1" x14ac:dyDescent="0.3">
      <c r="A14" s="19" t="s">
        <v>21</v>
      </c>
      <c r="B14" s="47" t="s">
        <v>22</v>
      </c>
      <c r="C14" s="48">
        <v>5103170</v>
      </c>
      <c r="D14" s="20">
        <f t="shared" si="2"/>
        <v>0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 outlineLevel="1" x14ac:dyDescent="0.3">
      <c r="A15" s="19" t="s">
        <v>23</v>
      </c>
      <c r="B15" s="47" t="s">
        <v>24</v>
      </c>
      <c r="C15" s="48">
        <v>5103160</v>
      </c>
      <c r="D15" s="20">
        <f t="shared" si="2"/>
        <v>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 outlineLevel="1" x14ac:dyDescent="0.3">
      <c r="A16" s="19" t="s">
        <v>25</v>
      </c>
      <c r="B16" s="47" t="s">
        <v>26</v>
      </c>
      <c r="C16" s="48">
        <v>5103150</v>
      </c>
      <c r="D16" s="20">
        <f t="shared" si="2"/>
        <v>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outlineLevel="1" x14ac:dyDescent="0.3">
      <c r="A17" s="19" t="s">
        <v>27</v>
      </c>
      <c r="B17" s="47" t="s">
        <v>28</v>
      </c>
      <c r="C17" s="48">
        <v>5103140</v>
      </c>
      <c r="D17" s="20">
        <f t="shared" si="2"/>
        <v>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outlineLevel="1" x14ac:dyDescent="0.3">
      <c r="A18" s="19" t="s">
        <v>29</v>
      </c>
      <c r="B18" s="47" t="s">
        <v>3</v>
      </c>
      <c r="C18" s="48">
        <v>5103130</v>
      </c>
      <c r="D18" s="20">
        <f t="shared" si="2"/>
        <v>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 outlineLevel="1" x14ac:dyDescent="0.3">
      <c r="A19" s="19" t="s">
        <v>30</v>
      </c>
      <c r="B19" s="47" t="s">
        <v>31</v>
      </c>
      <c r="C19" s="48">
        <v>5103120</v>
      </c>
      <c r="D19" s="20">
        <f t="shared" si="2"/>
        <v>0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 outlineLevel="1" x14ac:dyDescent="0.3">
      <c r="A20" s="19" t="s">
        <v>32</v>
      </c>
      <c r="B20" s="47" t="s">
        <v>33</v>
      </c>
      <c r="C20" s="48">
        <v>5103110</v>
      </c>
      <c r="D20" s="20">
        <f t="shared" si="2"/>
        <v>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outlineLevel="1" x14ac:dyDescent="0.3">
      <c r="A21" s="19" t="s">
        <v>34</v>
      </c>
      <c r="B21" s="47" t="s">
        <v>18</v>
      </c>
      <c r="C21" s="48">
        <v>5103270</v>
      </c>
      <c r="D21" s="20">
        <f t="shared" si="2"/>
        <v>15600000</v>
      </c>
      <c r="E21" s="20">
        <v>1300000</v>
      </c>
      <c r="F21" s="20">
        <v>1300000</v>
      </c>
      <c r="G21" s="20">
        <v>1300000</v>
      </c>
      <c r="H21" s="20">
        <v>1300000</v>
      </c>
      <c r="I21" s="20">
        <v>1300000</v>
      </c>
      <c r="J21" s="20">
        <v>1300000</v>
      </c>
      <c r="K21" s="20">
        <v>1300000</v>
      </c>
      <c r="L21" s="20">
        <v>1300000</v>
      </c>
      <c r="M21" s="20">
        <v>1300000</v>
      </c>
      <c r="N21" s="20">
        <v>1300000</v>
      </c>
      <c r="O21" s="20">
        <v>1300000</v>
      </c>
      <c r="P21" s="20">
        <v>1300000</v>
      </c>
    </row>
    <row r="22" spans="1:16" outlineLevel="1" x14ac:dyDescent="0.3">
      <c r="A22" s="19" t="s">
        <v>35</v>
      </c>
      <c r="B22" s="47" t="s">
        <v>35</v>
      </c>
      <c r="C22" s="48">
        <v>5103111</v>
      </c>
      <c r="D22" s="20">
        <f t="shared" si="2"/>
        <v>0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 outlineLevel="1" x14ac:dyDescent="0.3">
      <c r="A23" s="19" t="s">
        <v>36</v>
      </c>
      <c r="B23" s="47" t="s">
        <v>36</v>
      </c>
      <c r="C23" s="48">
        <v>5103131</v>
      </c>
      <c r="D23" s="20">
        <f t="shared" si="2"/>
        <v>2880000</v>
      </c>
      <c r="E23" s="20">
        <v>240000</v>
      </c>
      <c r="F23" s="20">
        <v>240000</v>
      </c>
      <c r="G23" s="20">
        <v>240000</v>
      </c>
      <c r="H23" s="20">
        <v>240000</v>
      </c>
      <c r="I23" s="20">
        <v>240000</v>
      </c>
      <c r="J23" s="20">
        <v>240000</v>
      </c>
      <c r="K23" s="20">
        <v>240000</v>
      </c>
      <c r="L23" s="20">
        <v>240000</v>
      </c>
      <c r="M23" s="20">
        <v>240000</v>
      </c>
      <c r="N23" s="20">
        <v>240000</v>
      </c>
      <c r="O23" s="20">
        <v>240000</v>
      </c>
      <c r="P23" s="20">
        <v>240000</v>
      </c>
    </row>
    <row r="24" spans="1:16" x14ac:dyDescent="0.3">
      <c r="A24" s="15" t="s">
        <v>37</v>
      </c>
      <c r="B24" s="49" t="s">
        <v>3</v>
      </c>
      <c r="C24" s="50"/>
      <c r="D24" s="18">
        <f t="shared" ref="D24:P24" si="3">SUM(D25:D29)</f>
        <v>800000</v>
      </c>
      <c r="E24" s="18">
        <f t="shared" si="3"/>
        <v>0</v>
      </c>
      <c r="F24" s="18">
        <f t="shared" si="3"/>
        <v>0</v>
      </c>
      <c r="G24" s="18">
        <f t="shared" si="3"/>
        <v>200000</v>
      </c>
      <c r="H24" s="18">
        <f t="shared" si="3"/>
        <v>0</v>
      </c>
      <c r="I24" s="18">
        <f t="shared" si="3"/>
        <v>0</v>
      </c>
      <c r="J24" s="18">
        <f t="shared" si="3"/>
        <v>200000</v>
      </c>
      <c r="K24" s="18">
        <f t="shared" si="3"/>
        <v>0</v>
      </c>
      <c r="L24" s="18">
        <f t="shared" si="3"/>
        <v>0</v>
      </c>
      <c r="M24" s="18">
        <f t="shared" si="3"/>
        <v>200000</v>
      </c>
      <c r="N24" s="18">
        <f t="shared" si="3"/>
        <v>0</v>
      </c>
      <c r="O24" s="18">
        <f t="shared" si="3"/>
        <v>0</v>
      </c>
      <c r="P24" s="18">
        <f t="shared" si="3"/>
        <v>200000</v>
      </c>
    </row>
    <row r="25" spans="1:16" outlineLevel="1" x14ac:dyDescent="0.3">
      <c r="A25" s="19" t="s">
        <v>38</v>
      </c>
      <c r="B25" s="47" t="s">
        <v>39</v>
      </c>
      <c r="C25" s="48">
        <v>5104110</v>
      </c>
      <c r="D25" s="20">
        <f>SUM(E25:P25)</f>
        <v>0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outlineLevel="1" x14ac:dyDescent="0.3">
      <c r="A26" s="19" t="s">
        <v>40</v>
      </c>
      <c r="B26" s="47" t="s">
        <v>41</v>
      </c>
      <c r="C26" s="48">
        <v>5104120</v>
      </c>
      <c r="D26" s="20">
        <f>SUM(E26:P26)</f>
        <v>400000</v>
      </c>
      <c r="E26" s="20">
        <v>0</v>
      </c>
      <c r="F26" s="20">
        <v>0</v>
      </c>
      <c r="G26" s="20">
        <v>100000</v>
      </c>
      <c r="H26" s="20">
        <v>0</v>
      </c>
      <c r="I26" s="20">
        <v>0</v>
      </c>
      <c r="J26" s="20">
        <v>100000</v>
      </c>
      <c r="K26" s="20">
        <v>0</v>
      </c>
      <c r="L26" s="20">
        <v>0</v>
      </c>
      <c r="M26" s="20">
        <v>100000</v>
      </c>
      <c r="N26" s="20">
        <v>0</v>
      </c>
      <c r="O26" s="20">
        <v>0</v>
      </c>
      <c r="P26" s="20">
        <v>100000</v>
      </c>
    </row>
    <row r="27" spans="1:16" outlineLevel="1" x14ac:dyDescent="0.3">
      <c r="A27" s="19" t="s">
        <v>42</v>
      </c>
      <c r="B27" s="47" t="s">
        <v>43</v>
      </c>
      <c r="C27" s="48">
        <v>5104130</v>
      </c>
      <c r="D27" s="20">
        <f>SUM(E27:P27)</f>
        <v>400000</v>
      </c>
      <c r="E27" s="20">
        <v>0</v>
      </c>
      <c r="F27" s="20">
        <v>0</v>
      </c>
      <c r="G27" s="20">
        <v>100000</v>
      </c>
      <c r="H27" s="20">
        <v>0</v>
      </c>
      <c r="I27" s="20">
        <v>0</v>
      </c>
      <c r="J27" s="20">
        <v>100000</v>
      </c>
      <c r="K27" s="20">
        <v>0</v>
      </c>
      <c r="L27" s="20">
        <v>0</v>
      </c>
      <c r="M27" s="20">
        <v>100000</v>
      </c>
      <c r="N27" s="20">
        <v>0</v>
      </c>
      <c r="O27" s="20">
        <v>0</v>
      </c>
      <c r="P27" s="20">
        <v>100000</v>
      </c>
    </row>
    <row r="28" spans="1:16" outlineLevel="1" x14ac:dyDescent="0.3">
      <c r="A28" s="19" t="s">
        <v>44</v>
      </c>
      <c r="B28" s="47" t="s">
        <v>45</v>
      </c>
      <c r="C28" s="48">
        <v>5104140</v>
      </c>
      <c r="D28" s="20">
        <f>SUM(E28:P28)</f>
        <v>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outlineLevel="1" x14ac:dyDescent="0.3">
      <c r="A29" s="19" t="s">
        <v>46</v>
      </c>
      <c r="B29" s="47" t="s">
        <v>46</v>
      </c>
      <c r="C29" s="48">
        <v>5104150</v>
      </c>
      <c r="D29" s="20">
        <f>SUM(E29:P29)</f>
        <v>0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x14ac:dyDescent="0.3">
      <c r="A30" s="15" t="s">
        <v>47</v>
      </c>
      <c r="B30" s="49" t="s">
        <v>3</v>
      </c>
      <c r="C30" s="50"/>
      <c r="D30" s="18">
        <f t="shared" ref="D30:P30" si="4">SUM(D31:D37)</f>
        <v>1200000</v>
      </c>
      <c r="E30" s="18">
        <f t="shared" si="4"/>
        <v>100000</v>
      </c>
      <c r="F30" s="18">
        <f t="shared" si="4"/>
        <v>100000</v>
      </c>
      <c r="G30" s="18">
        <f t="shared" si="4"/>
        <v>100000</v>
      </c>
      <c r="H30" s="18">
        <f t="shared" si="4"/>
        <v>100000</v>
      </c>
      <c r="I30" s="18">
        <f t="shared" si="4"/>
        <v>100000</v>
      </c>
      <c r="J30" s="18">
        <f t="shared" si="4"/>
        <v>100000</v>
      </c>
      <c r="K30" s="18">
        <f t="shared" si="4"/>
        <v>100000</v>
      </c>
      <c r="L30" s="18">
        <f t="shared" si="4"/>
        <v>100000</v>
      </c>
      <c r="M30" s="18">
        <f t="shared" si="4"/>
        <v>100000</v>
      </c>
      <c r="N30" s="18">
        <f t="shared" si="4"/>
        <v>100000</v>
      </c>
      <c r="O30" s="18">
        <f t="shared" si="4"/>
        <v>100000</v>
      </c>
      <c r="P30" s="18">
        <f t="shared" si="4"/>
        <v>100000</v>
      </c>
    </row>
    <row r="31" spans="1:16" outlineLevel="1" x14ac:dyDescent="0.3">
      <c r="A31" s="19" t="s">
        <v>48</v>
      </c>
      <c r="B31" s="47" t="s">
        <v>49</v>
      </c>
      <c r="C31" s="48">
        <v>5105160</v>
      </c>
      <c r="D31" s="20">
        <f t="shared" ref="D31:D37" si="5">SUM(E31:P31)</f>
        <v>0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outlineLevel="1" x14ac:dyDescent="0.3">
      <c r="A32" s="19" t="s">
        <v>50</v>
      </c>
      <c r="B32" s="47" t="s">
        <v>49</v>
      </c>
      <c r="C32" s="48">
        <v>5105150</v>
      </c>
      <c r="D32" s="20">
        <f t="shared" si="5"/>
        <v>0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outlineLevel="1" x14ac:dyDescent="0.3">
      <c r="A33" s="19" t="s">
        <v>51</v>
      </c>
      <c r="B33" s="47" t="s">
        <v>52</v>
      </c>
      <c r="C33" s="48">
        <v>5105140</v>
      </c>
      <c r="D33" s="20">
        <f t="shared" si="5"/>
        <v>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outlineLevel="1" x14ac:dyDescent="0.3">
      <c r="A34" s="19" t="s">
        <v>53</v>
      </c>
      <c r="B34" s="47" t="s">
        <v>49</v>
      </c>
      <c r="C34" s="48">
        <v>5105130</v>
      </c>
      <c r="D34" s="20">
        <f t="shared" si="5"/>
        <v>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outlineLevel="1" x14ac:dyDescent="0.3">
      <c r="A35" s="19" t="s">
        <v>54</v>
      </c>
      <c r="B35" s="47" t="s">
        <v>49</v>
      </c>
      <c r="C35" s="48">
        <v>5105120</v>
      </c>
      <c r="D35" s="20">
        <f t="shared" si="5"/>
        <v>0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outlineLevel="1" x14ac:dyDescent="0.3">
      <c r="A36" s="19" t="s">
        <v>55</v>
      </c>
      <c r="B36" s="47" t="s">
        <v>49</v>
      </c>
      <c r="C36" s="48">
        <v>5105110</v>
      </c>
      <c r="D36" s="20">
        <f t="shared" si="5"/>
        <v>0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outlineLevel="1" x14ac:dyDescent="0.3">
      <c r="A37" s="19" t="s">
        <v>56</v>
      </c>
      <c r="B37" s="47" t="s">
        <v>49</v>
      </c>
      <c r="C37" s="48">
        <v>5105111</v>
      </c>
      <c r="D37" s="20">
        <f t="shared" si="5"/>
        <v>1200000</v>
      </c>
      <c r="E37" s="20">
        <v>100000</v>
      </c>
      <c r="F37" s="20">
        <v>100000</v>
      </c>
      <c r="G37" s="20">
        <v>100000</v>
      </c>
      <c r="H37" s="20">
        <v>100000</v>
      </c>
      <c r="I37" s="20">
        <v>100000</v>
      </c>
      <c r="J37" s="20">
        <v>100000</v>
      </c>
      <c r="K37" s="20">
        <v>100000</v>
      </c>
      <c r="L37" s="20">
        <v>100000</v>
      </c>
      <c r="M37" s="20">
        <v>100000</v>
      </c>
      <c r="N37" s="20">
        <v>100000</v>
      </c>
      <c r="O37" s="20">
        <v>100000</v>
      </c>
      <c r="P37" s="20">
        <v>100000</v>
      </c>
    </row>
    <row r="38" spans="1:16" x14ac:dyDescent="0.3">
      <c r="A38" s="15" t="s">
        <v>57</v>
      </c>
      <c r="B38" s="49" t="s">
        <v>3</v>
      </c>
      <c r="C38" s="50"/>
      <c r="D38" s="18">
        <f t="shared" ref="D38:P38" si="6">SUM(D39:D45)</f>
        <v>0</v>
      </c>
      <c r="E38" s="18">
        <f t="shared" si="6"/>
        <v>0</v>
      </c>
      <c r="F38" s="18">
        <f t="shared" si="6"/>
        <v>0</v>
      </c>
      <c r="G38" s="18">
        <f t="shared" si="6"/>
        <v>0</v>
      </c>
      <c r="H38" s="18">
        <f t="shared" si="6"/>
        <v>0</v>
      </c>
      <c r="I38" s="18">
        <f t="shared" si="6"/>
        <v>0</v>
      </c>
      <c r="J38" s="18">
        <f t="shared" si="6"/>
        <v>0</v>
      </c>
      <c r="K38" s="18">
        <f t="shared" si="6"/>
        <v>0</v>
      </c>
      <c r="L38" s="18">
        <f t="shared" si="6"/>
        <v>0</v>
      </c>
      <c r="M38" s="18">
        <f t="shared" si="6"/>
        <v>0</v>
      </c>
      <c r="N38" s="18">
        <f t="shared" si="6"/>
        <v>0</v>
      </c>
      <c r="O38" s="18">
        <f t="shared" si="6"/>
        <v>0</v>
      </c>
      <c r="P38" s="18">
        <f t="shared" si="6"/>
        <v>0</v>
      </c>
    </row>
    <row r="39" spans="1:16" outlineLevel="1" x14ac:dyDescent="0.3">
      <c r="A39" s="19" t="s">
        <v>58</v>
      </c>
      <c r="B39" s="47" t="s">
        <v>59</v>
      </c>
      <c r="C39" s="48">
        <v>5106110</v>
      </c>
      <c r="D39" s="20">
        <f t="shared" ref="D39:D45" si="7">SUM(E39:P39)</f>
        <v>0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pans="1:16" outlineLevel="1" x14ac:dyDescent="0.3">
      <c r="A40" s="19" t="s">
        <v>60</v>
      </c>
      <c r="B40" s="47" t="s">
        <v>59</v>
      </c>
      <c r="C40" s="48">
        <v>5106120</v>
      </c>
      <c r="D40" s="20">
        <f t="shared" si="7"/>
        <v>0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outlineLevel="1" x14ac:dyDescent="0.3">
      <c r="A41" s="19" t="s">
        <v>61</v>
      </c>
      <c r="B41" s="47" t="s">
        <v>59</v>
      </c>
      <c r="C41" s="48">
        <v>5106130</v>
      </c>
      <c r="D41" s="20">
        <f t="shared" si="7"/>
        <v>0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1:16" outlineLevel="1" x14ac:dyDescent="0.3">
      <c r="A42" s="19" t="s">
        <v>62</v>
      </c>
      <c r="B42" s="47" t="s">
        <v>3</v>
      </c>
      <c r="C42" s="48">
        <v>5106140</v>
      </c>
      <c r="D42" s="20">
        <f t="shared" si="7"/>
        <v>0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 outlineLevel="1" x14ac:dyDescent="0.3">
      <c r="A43" s="19" t="s">
        <v>63</v>
      </c>
      <c r="B43" s="47" t="s">
        <v>59</v>
      </c>
      <c r="C43" s="48">
        <v>5106150</v>
      </c>
      <c r="D43" s="20">
        <f t="shared" si="7"/>
        <v>0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1:16" outlineLevel="1" x14ac:dyDescent="0.3">
      <c r="A44" s="19" t="s">
        <v>64</v>
      </c>
      <c r="B44" s="47" t="s">
        <v>3</v>
      </c>
      <c r="C44" s="48">
        <v>5106160</v>
      </c>
      <c r="D44" s="20">
        <f t="shared" si="7"/>
        <v>0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outlineLevel="1" x14ac:dyDescent="0.3">
      <c r="A45" s="19" t="s">
        <v>65</v>
      </c>
      <c r="B45" s="47" t="s">
        <v>59</v>
      </c>
      <c r="C45" s="48">
        <v>5106141</v>
      </c>
      <c r="D45" s="20">
        <f t="shared" si="7"/>
        <v>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x14ac:dyDescent="0.3">
      <c r="A46" s="15" t="s">
        <v>66</v>
      </c>
      <c r="B46" s="49" t="s">
        <v>3</v>
      </c>
      <c r="C46" s="50"/>
      <c r="D46" s="18">
        <f t="shared" ref="D46:P46" si="8">SUM(D47:D56)</f>
        <v>0</v>
      </c>
      <c r="E46" s="18">
        <f t="shared" si="8"/>
        <v>0</v>
      </c>
      <c r="F46" s="18">
        <f t="shared" si="8"/>
        <v>0</v>
      </c>
      <c r="G46" s="18">
        <f t="shared" si="8"/>
        <v>0</v>
      </c>
      <c r="H46" s="18">
        <f t="shared" si="8"/>
        <v>0</v>
      </c>
      <c r="I46" s="18">
        <f t="shared" si="8"/>
        <v>0</v>
      </c>
      <c r="J46" s="18">
        <f t="shared" si="8"/>
        <v>0</v>
      </c>
      <c r="K46" s="18">
        <f t="shared" si="8"/>
        <v>0</v>
      </c>
      <c r="L46" s="18">
        <f t="shared" si="8"/>
        <v>0</v>
      </c>
      <c r="M46" s="18">
        <f t="shared" si="8"/>
        <v>0</v>
      </c>
      <c r="N46" s="18">
        <f t="shared" si="8"/>
        <v>0</v>
      </c>
      <c r="O46" s="18">
        <f t="shared" si="8"/>
        <v>0</v>
      </c>
      <c r="P46" s="18">
        <f t="shared" si="8"/>
        <v>0</v>
      </c>
    </row>
    <row r="47" spans="1:16" outlineLevel="1" x14ac:dyDescent="0.3">
      <c r="A47" s="19" t="s">
        <v>67</v>
      </c>
      <c r="B47" s="47" t="s">
        <v>68</v>
      </c>
      <c r="C47" s="48">
        <v>5107110</v>
      </c>
      <c r="D47" s="20">
        <f t="shared" ref="D47:D56" si="9">SUM(E47:P47)</f>
        <v>0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outlineLevel="1" x14ac:dyDescent="0.3">
      <c r="A48" s="19" t="s">
        <v>69</v>
      </c>
      <c r="B48" s="47" t="s">
        <v>68</v>
      </c>
      <c r="C48" s="48">
        <v>5107130</v>
      </c>
      <c r="D48" s="20">
        <f t="shared" si="9"/>
        <v>0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outlineLevel="1" x14ac:dyDescent="0.3">
      <c r="A49" s="22" t="s">
        <v>70</v>
      </c>
      <c r="B49" s="47" t="s">
        <v>68</v>
      </c>
      <c r="C49" s="48">
        <v>5107120</v>
      </c>
      <c r="D49" s="20">
        <f t="shared" si="9"/>
        <v>0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pans="1:16" outlineLevel="1" x14ac:dyDescent="0.3">
      <c r="A50" s="19" t="s">
        <v>71</v>
      </c>
      <c r="B50" s="47" t="s">
        <v>68</v>
      </c>
      <c r="C50" s="48">
        <v>5107140</v>
      </c>
      <c r="D50" s="20">
        <f t="shared" si="9"/>
        <v>0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16" outlineLevel="1" x14ac:dyDescent="0.3">
      <c r="A51" s="19" t="s">
        <v>72</v>
      </c>
      <c r="B51" s="47" t="s">
        <v>68</v>
      </c>
      <c r="C51" s="48">
        <v>5107150</v>
      </c>
      <c r="D51" s="20">
        <f t="shared" si="9"/>
        <v>0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outlineLevel="1" x14ac:dyDescent="0.3">
      <c r="A52" s="19" t="s">
        <v>73</v>
      </c>
      <c r="B52" s="47" t="s">
        <v>68</v>
      </c>
      <c r="C52" s="48">
        <v>5107160</v>
      </c>
      <c r="D52" s="20">
        <f t="shared" si="9"/>
        <v>0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 outlineLevel="1" x14ac:dyDescent="0.3">
      <c r="A53" s="19" t="s">
        <v>74</v>
      </c>
      <c r="B53" s="47" t="s">
        <v>68</v>
      </c>
      <c r="C53" s="48">
        <v>5107170</v>
      </c>
      <c r="D53" s="20">
        <f t="shared" si="9"/>
        <v>0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outlineLevel="1" x14ac:dyDescent="0.3">
      <c r="A54" s="19" t="s">
        <v>75</v>
      </c>
      <c r="B54" s="47" t="s">
        <v>68</v>
      </c>
      <c r="C54" s="48">
        <v>5107180</v>
      </c>
      <c r="D54" s="20">
        <f t="shared" si="9"/>
        <v>0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outlineLevel="1" x14ac:dyDescent="0.3">
      <c r="A55" s="40" t="s">
        <v>76</v>
      </c>
      <c r="B55" s="47" t="s">
        <v>77</v>
      </c>
      <c r="C55" s="48">
        <v>5107190</v>
      </c>
      <c r="D55" s="20">
        <f t="shared" si="9"/>
        <v>0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 outlineLevel="1" x14ac:dyDescent="0.3">
      <c r="A56" s="19" t="s">
        <v>78</v>
      </c>
      <c r="B56" s="47" t="s">
        <v>79</v>
      </c>
      <c r="C56" s="48">
        <v>5107210</v>
      </c>
      <c r="D56" s="20">
        <f t="shared" si="9"/>
        <v>0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 x14ac:dyDescent="0.3">
      <c r="A57" s="15" t="s">
        <v>80</v>
      </c>
      <c r="B57" s="49" t="s">
        <v>3</v>
      </c>
      <c r="C57" s="50"/>
      <c r="D57" s="18">
        <f t="shared" ref="D57:P57" si="10">SUM(D58:D65)</f>
        <v>9600000</v>
      </c>
      <c r="E57" s="18">
        <f t="shared" si="10"/>
        <v>800000</v>
      </c>
      <c r="F57" s="18">
        <f t="shared" si="10"/>
        <v>800000</v>
      </c>
      <c r="G57" s="18">
        <f t="shared" si="10"/>
        <v>800000</v>
      </c>
      <c r="H57" s="18">
        <f t="shared" si="10"/>
        <v>800000</v>
      </c>
      <c r="I57" s="18">
        <f t="shared" si="10"/>
        <v>800000</v>
      </c>
      <c r="J57" s="18">
        <f t="shared" si="10"/>
        <v>800000</v>
      </c>
      <c r="K57" s="18">
        <f t="shared" si="10"/>
        <v>800000</v>
      </c>
      <c r="L57" s="18">
        <f t="shared" si="10"/>
        <v>800000</v>
      </c>
      <c r="M57" s="18">
        <f t="shared" si="10"/>
        <v>800000</v>
      </c>
      <c r="N57" s="18">
        <f t="shared" si="10"/>
        <v>800000</v>
      </c>
      <c r="O57" s="18">
        <f t="shared" si="10"/>
        <v>800000</v>
      </c>
      <c r="P57" s="18">
        <f t="shared" si="10"/>
        <v>800000</v>
      </c>
    </row>
    <row r="58" spans="1:16" outlineLevel="1" x14ac:dyDescent="0.3">
      <c r="A58" s="19" t="s">
        <v>81</v>
      </c>
      <c r="B58" s="47" t="s">
        <v>82</v>
      </c>
      <c r="C58" s="48">
        <v>5108110</v>
      </c>
      <c r="D58" s="20">
        <f t="shared" ref="D58:D65" si="11">SUM(E58:P58)</f>
        <v>0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outlineLevel="1" x14ac:dyDescent="0.3">
      <c r="A59" s="19" t="s">
        <v>83</v>
      </c>
      <c r="B59" s="47" t="s">
        <v>82</v>
      </c>
      <c r="C59" s="48">
        <v>5108120</v>
      </c>
      <c r="D59" s="20">
        <f t="shared" si="11"/>
        <v>0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 outlineLevel="1" x14ac:dyDescent="0.3">
      <c r="A60" s="19" t="s">
        <v>84</v>
      </c>
      <c r="B60" s="47" t="s">
        <v>82</v>
      </c>
      <c r="C60" s="48">
        <v>5108130</v>
      </c>
      <c r="D60" s="20">
        <f t="shared" si="11"/>
        <v>0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 outlineLevel="1" x14ac:dyDescent="0.3">
      <c r="A61" s="19" t="s">
        <v>85</v>
      </c>
      <c r="B61" s="47" t="s">
        <v>82</v>
      </c>
      <c r="C61" s="48">
        <v>5108140</v>
      </c>
      <c r="D61" s="20">
        <f t="shared" si="11"/>
        <v>0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outlineLevel="1" x14ac:dyDescent="0.3">
      <c r="A62" s="19" t="s">
        <v>86</v>
      </c>
      <c r="B62" s="47" t="s">
        <v>87</v>
      </c>
      <c r="C62" s="48">
        <v>5108150</v>
      </c>
      <c r="D62" s="20">
        <f t="shared" si="11"/>
        <v>0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 outlineLevel="1" x14ac:dyDescent="0.3">
      <c r="A63" s="19" t="s">
        <v>88</v>
      </c>
      <c r="B63" s="47" t="s">
        <v>82</v>
      </c>
      <c r="C63" s="48">
        <v>5108160</v>
      </c>
      <c r="D63" s="20">
        <f t="shared" si="11"/>
        <v>0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 outlineLevel="1" x14ac:dyDescent="0.3">
      <c r="A64" s="19" t="s">
        <v>89</v>
      </c>
      <c r="B64" s="47" t="s">
        <v>89</v>
      </c>
      <c r="C64" s="48">
        <v>5108161</v>
      </c>
      <c r="D64" s="20">
        <f t="shared" si="11"/>
        <v>9600000</v>
      </c>
      <c r="E64" s="20">
        <v>800000</v>
      </c>
      <c r="F64" s="20">
        <v>800000</v>
      </c>
      <c r="G64" s="20">
        <v>800000</v>
      </c>
      <c r="H64" s="20">
        <v>800000</v>
      </c>
      <c r="I64" s="20">
        <v>800000</v>
      </c>
      <c r="J64" s="20">
        <v>800000</v>
      </c>
      <c r="K64" s="20">
        <v>800000</v>
      </c>
      <c r="L64" s="20">
        <v>800000</v>
      </c>
      <c r="M64" s="20">
        <v>800000</v>
      </c>
      <c r="N64" s="20">
        <v>800000</v>
      </c>
      <c r="O64" s="20">
        <v>800000</v>
      </c>
      <c r="P64" s="20">
        <v>800000</v>
      </c>
    </row>
    <row r="65" spans="1:16" outlineLevel="1" x14ac:dyDescent="0.3">
      <c r="A65" s="19" t="s">
        <v>90</v>
      </c>
      <c r="B65" s="47" t="s">
        <v>90</v>
      </c>
      <c r="C65" s="48">
        <v>5108162</v>
      </c>
      <c r="D65" s="20">
        <f t="shared" si="11"/>
        <v>0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x14ac:dyDescent="0.3">
      <c r="A66" s="15" t="s">
        <v>91</v>
      </c>
      <c r="B66" s="49" t="s">
        <v>3</v>
      </c>
      <c r="C66" s="50"/>
      <c r="D66" s="18">
        <f t="shared" ref="D66:P66" si="12">SUM(D67:D77)</f>
        <v>0</v>
      </c>
      <c r="E66" s="18">
        <f t="shared" si="12"/>
        <v>0</v>
      </c>
      <c r="F66" s="18">
        <f t="shared" si="12"/>
        <v>0</v>
      </c>
      <c r="G66" s="18">
        <f t="shared" si="12"/>
        <v>0</v>
      </c>
      <c r="H66" s="18">
        <f t="shared" si="12"/>
        <v>0</v>
      </c>
      <c r="I66" s="18">
        <f t="shared" si="12"/>
        <v>0</v>
      </c>
      <c r="J66" s="18">
        <f t="shared" si="12"/>
        <v>0</v>
      </c>
      <c r="K66" s="18">
        <f t="shared" si="12"/>
        <v>0</v>
      </c>
      <c r="L66" s="18">
        <f t="shared" si="12"/>
        <v>0</v>
      </c>
      <c r="M66" s="18">
        <f t="shared" si="12"/>
        <v>0</v>
      </c>
      <c r="N66" s="18">
        <f t="shared" si="12"/>
        <v>0</v>
      </c>
      <c r="O66" s="18">
        <f t="shared" si="12"/>
        <v>0</v>
      </c>
      <c r="P66" s="18">
        <f t="shared" si="12"/>
        <v>0</v>
      </c>
    </row>
    <row r="67" spans="1:16" outlineLevel="1" x14ac:dyDescent="0.3">
      <c r="A67" s="19" t="s">
        <v>92</v>
      </c>
      <c r="B67" s="47" t="s">
        <v>93</v>
      </c>
      <c r="C67" s="48">
        <v>5109110</v>
      </c>
      <c r="D67" s="20">
        <f t="shared" ref="D67:D77" si="13">SUM(E67:P67)</f>
        <v>0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1:16" outlineLevel="1" x14ac:dyDescent="0.3">
      <c r="A68" s="19" t="s">
        <v>94</v>
      </c>
      <c r="B68" s="47" t="s">
        <v>93</v>
      </c>
      <c r="C68" s="48">
        <v>5109120</v>
      </c>
      <c r="D68" s="20">
        <f t="shared" si="13"/>
        <v>0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1:16" outlineLevel="1" x14ac:dyDescent="0.3">
      <c r="A69" s="19" t="s">
        <v>95</v>
      </c>
      <c r="B69" s="47" t="s">
        <v>93</v>
      </c>
      <c r="C69" s="48">
        <v>5109130</v>
      </c>
      <c r="D69" s="20">
        <f t="shared" si="13"/>
        <v>0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outlineLevel="1" x14ac:dyDescent="0.3">
      <c r="A70" s="22" t="s">
        <v>96</v>
      </c>
      <c r="B70" s="47" t="s">
        <v>93</v>
      </c>
      <c r="C70" s="48">
        <v>5109140</v>
      </c>
      <c r="D70" s="20">
        <f t="shared" si="13"/>
        <v>0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outlineLevel="1" x14ac:dyDescent="0.3">
      <c r="A71" s="19" t="s">
        <v>97</v>
      </c>
      <c r="B71" s="47" t="s">
        <v>93</v>
      </c>
      <c r="C71" s="48">
        <v>5109150</v>
      </c>
      <c r="D71" s="20">
        <f t="shared" si="13"/>
        <v>0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pans="1:16" outlineLevel="1" x14ac:dyDescent="0.3">
      <c r="A72" s="19" t="s">
        <v>98</v>
      </c>
      <c r="B72" s="47" t="s">
        <v>93</v>
      </c>
      <c r="C72" s="48">
        <v>5109160</v>
      </c>
      <c r="D72" s="20">
        <f t="shared" si="13"/>
        <v>0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 outlineLevel="1" x14ac:dyDescent="0.3">
      <c r="A73" s="19" t="s">
        <v>99</v>
      </c>
      <c r="B73" s="47" t="s">
        <v>93</v>
      </c>
      <c r="C73" s="48">
        <v>5109170</v>
      </c>
      <c r="D73" s="20">
        <f t="shared" si="13"/>
        <v>0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1:16" outlineLevel="1" x14ac:dyDescent="0.3">
      <c r="A74" s="19" t="s">
        <v>100</v>
      </c>
      <c r="B74" s="47" t="s">
        <v>93</v>
      </c>
      <c r="C74" s="48">
        <v>5109180</v>
      </c>
      <c r="D74" s="20">
        <f t="shared" si="13"/>
        <v>0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outlineLevel="1" x14ac:dyDescent="0.3">
      <c r="A75" s="19" t="s">
        <v>101</v>
      </c>
      <c r="B75" s="47" t="s">
        <v>93</v>
      </c>
      <c r="C75" s="48">
        <v>5109190</v>
      </c>
      <c r="D75" s="20">
        <f t="shared" si="13"/>
        <v>0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 outlineLevel="1" x14ac:dyDescent="0.3">
      <c r="A76" s="19" t="s">
        <v>102</v>
      </c>
      <c r="B76" s="47" t="s">
        <v>93</v>
      </c>
      <c r="C76" s="48">
        <v>5109210</v>
      </c>
      <c r="D76" s="20">
        <f t="shared" si="13"/>
        <v>0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outlineLevel="1" x14ac:dyDescent="0.3">
      <c r="A77" s="19" t="s">
        <v>103</v>
      </c>
      <c r="B77" s="47" t="s">
        <v>93</v>
      </c>
      <c r="C77" s="48">
        <v>5109220</v>
      </c>
      <c r="D77" s="20">
        <f t="shared" si="13"/>
        <v>0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6" x14ac:dyDescent="0.3">
      <c r="A78" s="15" t="s">
        <v>104</v>
      </c>
      <c r="B78" s="49" t="s">
        <v>3</v>
      </c>
      <c r="C78" s="50"/>
      <c r="D78" s="18">
        <f t="shared" ref="D78:P78" si="14">SUM(D79:D84)</f>
        <v>399999.99999999983</v>
      </c>
      <c r="E78" s="18">
        <f t="shared" si="14"/>
        <v>33333.333333333328</v>
      </c>
      <c r="F78" s="18">
        <f t="shared" si="14"/>
        <v>33333.333333333328</v>
      </c>
      <c r="G78" s="18">
        <f t="shared" si="14"/>
        <v>33333.333333333328</v>
      </c>
      <c r="H78" s="18">
        <f t="shared" si="14"/>
        <v>33333.333333333328</v>
      </c>
      <c r="I78" s="18">
        <f t="shared" si="14"/>
        <v>33333.333333333328</v>
      </c>
      <c r="J78" s="18">
        <f t="shared" si="14"/>
        <v>33333.333333333328</v>
      </c>
      <c r="K78" s="18">
        <f t="shared" si="14"/>
        <v>33333.333333333328</v>
      </c>
      <c r="L78" s="18">
        <f t="shared" si="14"/>
        <v>33333.333333333328</v>
      </c>
      <c r="M78" s="18">
        <f t="shared" si="14"/>
        <v>33333.333333333328</v>
      </c>
      <c r="N78" s="18">
        <f t="shared" si="14"/>
        <v>33333.333333333328</v>
      </c>
      <c r="O78" s="18">
        <f t="shared" si="14"/>
        <v>33333.333333333328</v>
      </c>
      <c r="P78" s="18">
        <f t="shared" si="14"/>
        <v>33333.333333333328</v>
      </c>
    </row>
    <row r="79" spans="1:16" outlineLevel="1" x14ac:dyDescent="0.3">
      <c r="A79" s="19" t="s">
        <v>105</v>
      </c>
      <c r="B79" s="47" t="s">
        <v>106</v>
      </c>
      <c r="C79" s="48">
        <v>5110110</v>
      </c>
      <c r="D79" s="20">
        <f t="shared" ref="D79:D84" si="15">SUM(E79:P79)</f>
        <v>0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1:16" outlineLevel="1" x14ac:dyDescent="0.3">
      <c r="A80" s="19" t="s">
        <v>107</v>
      </c>
      <c r="B80" s="47" t="s">
        <v>106</v>
      </c>
      <c r="C80" s="48">
        <v>5110120</v>
      </c>
      <c r="D80" s="20">
        <f t="shared" si="15"/>
        <v>0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pans="1:16" outlineLevel="1" x14ac:dyDescent="0.3">
      <c r="A81" s="19" t="s">
        <v>108</v>
      </c>
      <c r="B81" s="47" t="s">
        <v>106</v>
      </c>
      <c r="C81" s="48">
        <v>5110130</v>
      </c>
      <c r="D81" s="20">
        <f t="shared" si="15"/>
        <v>0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outlineLevel="1" x14ac:dyDescent="0.3">
      <c r="A82" s="19" t="s">
        <v>109</v>
      </c>
      <c r="B82" s="47" t="s">
        <v>106</v>
      </c>
      <c r="C82" s="48">
        <v>5110140</v>
      </c>
      <c r="D82" s="20">
        <f t="shared" si="15"/>
        <v>0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pans="1:16" outlineLevel="1" x14ac:dyDescent="0.3">
      <c r="A83" s="19" t="s">
        <v>110</v>
      </c>
      <c r="B83" s="47" t="s">
        <v>111</v>
      </c>
      <c r="C83" s="48">
        <v>5110150</v>
      </c>
      <c r="D83" s="20">
        <f t="shared" si="15"/>
        <v>399999.99999999983</v>
      </c>
      <c r="E83" s="30">
        <v>33333.333333333328</v>
      </c>
      <c r="F83" s="30">
        <v>33333.333333333328</v>
      </c>
      <c r="G83" s="30">
        <v>33333.333333333328</v>
      </c>
      <c r="H83" s="30">
        <v>33333.333333333328</v>
      </c>
      <c r="I83" s="30">
        <v>33333.333333333328</v>
      </c>
      <c r="J83" s="30">
        <v>33333.333333333328</v>
      </c>
      <c r="K83" s="30">
        <v>33333.333333333328</v>
      </c>
      <c r="L83" s="30">
        <v>33333.333333333328</v>
      </c>
      <c r="M83" s="30">
        <v>33333.333333333328</v>
      </c>
      <c r="N83" s="30">
        <v>33333.333333333328</v>
      </c>
      <c r="O83" s="30">
        <v>33333.333333333328</v>
      </c>
      <c r="P83" s="30">
        <v>33333.333333333328</v>
      </c>
    </row>
    <row r="84" spans="1:16" outlineLevel="1" x14ac:dyDescent="0.3">
      <c r="A84" s="19" t="s">
        <v>112</v>
      </c>
      <c r="B84" s="47" t="s">
        <v>111</v>
      </c>
      <c r="C84" s="48" t="s">
        <v>113</v>
      </c>
      <c r="D84" s="20">
        <f t="shared" si="15"/>
        <v>0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pans="1:16" x14ac:dyDescent="0.3">
      <c r="A85" s="15" t="s">
        <v>114</v>
      </c>
      <c r="B85" s="49" t="s">
        <v>3</v>
      </c>
      <c r="C85" s="50"/>
      <c r="D85" s="18">
        <f t="shared" ref="D85:P85" si="16">SUM(D86:D92)</f>
        <v>0</v>
      </c>
      <c r="E85" s="18">
        <f t="shared" si="16"/>
        <v>0</v>
      </c>
      <c r="F85" s="18">
        <f t="shared" si="16"/>
        <v>0</v>
      </c>
      <c r="G85" s="18">
        <f t="shared" si="16"/>
        <v>0</v>
      </c>
      <c r="H85" s="18">
        <f t="shared" si="16"/>
        <v>0</v>
      </c>
      <c r="I85" s="18">
        <f t="shared" si="16"/>
        <v>0</v>
      </c>
      <c r="J85" s="18">
        <f t="shared" si="16"/>
        <v>0</v>
      </c>
      <c r="K85" s="18">
        <f t="shared" si="16"/>
        <v>0</v>
      </c>
      <c r="L85" s="18">
        <f t="shared" si="16"/>
        <v>0</v>
      </c>
      <c r="M85" s="18">
        <f t="shared" si="16"/>
        <v>0</v>
      </c>
      <c r="N85" s="18">
        <f t="shared" si="16"/>
        <v>0</v>
      </c>
      <c r="O85" s="18">
        <f t="shared" si="16"/>
        <v>0</v>
      </c>
      <c r="P85" s="18">
        <f t="shared" si="16"/>
        <v>0</v>
      </c>
    </row>
    <row r="86" spans="1:16" outlineLevel="1" x14ac:dyDescent="0.3">
      <c r="A86" s="19" t="s">
        <v>115</v>
      </c>
      <c r="B86" s="47" t="s">
        <v>116</v>
      </c>
      <c r="C86" s="48">
        <v>5111110</v>
      </c>
      <c r="D86" s="20">
        <f t="shared" ref="D86:D92" si="17">SUM(E86:P86)</f>
        <v>0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spans="1:16" outlineLevel="1" x14ac:dyDescent="0.3">
      <c r="A87" s="19" t="s">
        <v>117</v>
      </c>
      <c r="B87" s="47" t="s">
        <v>116</v>
      </c>
      <c r="C87" s="48">
        <v>5111120</v>
      </c>
      <c r="D87" s="20">
        <f t="shared" si="17"/>
        <v>0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spans="1:16" outlineLevel="1" x14ac:dyDescent="0.3">
      <c r="A88" s="19" t="s">
        <v>118</v>
      </c>
      <c r="B88" s="47" t="s">
        <v>116</v>
      </c>
      <c r="C88" s="48">
        <v>5111130</v>
      </c>
      <c r="D88" s="20">
        <f t="shared" si="17"/>
        <v>0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outlineLevel="1" x14ac:dyDescent="0.3">
      <c r="A89" s="19" t="s">
        <v>119</v>
      </c>
      <c r="B89" s="47" t="s">
        <v>116</v>
      </c>
      <c r="C89" s="48">
        <v>5111140</v>
      </c>
      <c r="D89" s="20">
        <f t="shared" si="17"/>
        <v>0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outlineLevel="1" x14ac:dyDescent="0.3">
      <c r="A90" s="19" t="s">
        <v>120</v>
      </c>
      <c r="B90" s="47" t="s">
        <v>116</v>
      </c>
      <c r="C90" s="48">
        <v>5111150</v>
      </c>
      <c r="D90" s="20">
        <f t="shared" si="17"/>
        <v>0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1:16" outlineLevel="1" x14ac:dyDescent="0.3">
      <c r="A91" s="19" t="s">
        <v>121</v>
      </c>
      <c r="B91" s="47" t="s">
        <v>116</v>
      </c>
      <c r="C91" s="48">
        <v>5111160</v>
      </c>
      <c r="D91" s="20">
        <f t="shared" si="17"/>
        <v>0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pans="1:16" outlineLevel="1" x14ac:dyDescent="0.3">
      <c r="A92" s="19" t="s">
        <v>122</v>
      </c>
      <c r="B92" s="47" t="s">
        <v>116</v>
      </c>
      <c r="C92" s="48">
        <v>5111141</v>
      </c>
      <c r="D92" s="20">
        <f t="shared" si="17"/>
        <v>0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x14ac:dyDescent="0.3">
      <c r="A93" s="15" t="s">
        <v>123</v>
      </c>
      <c r="B93" s="49" t="s">
        <v>3</v>
      </c>
      <c r="C93" s="50"/>
      <c r="D93" s="18">
        <f t="shared" ref="D93:P93" si="18">SUM(D94:D95)</f>
        <v>0</v>
      </c>
      <c r="E93" s="18">
        <f t="shared" si="18"/>
        <v>0</v>
      </c>
      <c r="F93" s="18">
        <f t="shared" si="18"/>
        <v>0</v>
      </c>
      <c r="G93" s="18">
        <f t="shared" si="18"/>
        <v>0</v>
      </c>
      <c r="H93" s="18">
        <f t="shared" si="18"/>
        <v>0</v>
      </c>
      <c r="I93" s="18">
        <f t="shared" si="18"/>
        <v>0</v>
      </c>
      <c r="J93" s="18">
        <f t="shared" si="18"/>
        <v>0</v>
      </c>
      <c r="K93" s="18">
        <f t="shared" si="18"/>
        <v>0</v>
      </c>
      <c r="L93" s="18">
        <f t="shared" si="18"/>
        <v>0</v>
      </c>
      <c r="M93" s="18">
        <f t="shared" si="18"/>
        <v>0</v>
      </c>
      <c r="N93" s="18">
        <f t="shared" si="18"/>
        <v>0</v>
      </c>
      <c r="O93" s="18">
        <f t="shared" si="18"/>
        <v>0</v>
      </c>
      <c r="P93" s="18">
        <f t="shared" si="18"/>
        <v>0</v>
      </c>
    </row>
    <row r="94" spans="1:16" outlineLevel="1" x14ac:dyDescent="0.3">
      <c r="A94" s="19" t="s">
        <v>124</v>
      </c>
      <c r="B94" s="47" t="s">
        <v>125</v>
      </c>
      <c r="C94" s="48">
        <v>5112110</v>
      </c>
      <c r="D94" s="20">
        <f>SUM(E94:P94)</f>
        <v>0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pans="1:16" outlineLevel="1" x14ac:dyDescent="0.3">
      <c r="A95" s="19" t="s">
        <v>126</v>
      </c>
      <c r="B95" s="47" t="s">
        <v>126</v>
      </c>
      <c r="C95" s="48">
        <v>5112120</v>
      </c>
      <c r="D95" s="20">
        <f>SUM(E95:P95)</f>
        <v>0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pans="1:16" x14ac:dyDescent="0.3">
      <c r="A96" s="15" t="s">
        <v>127</v>
      </c>
      <c r="B96" s="49" t="s">
        <v>3</v>
      </c>
      <c r="C96" s="50"/>
      <c r="D96" s="18">
        <f t="shared" ref="D96:P96" si="19">SUM(D97:D105)</f>
        <v>0</v>
      </c>
      <c r="E96" s="18">
        <f t="shared" si="19"/>
        <v>0</v>
      </c>
      <c r="F96" s="18">
        <f t="shared" si="19"/>
        <v>0</v>
      </c>
      <c r="G96" s="18">
        <f t="shared" si="19"/>
        <v>0</v>
      </c>
      <c r="H96" s="18">
        <f t="shared" si="19"/>
        <v>0</v>
      </c>
      <c r="I96" s="18">
        <f t="shared" si="19"/>
        <v>0</v>
      </c>
      <c r="J96" s="18">
        <f t="shared" si="19"/>
        <v>0</v>
      </c>
      <c r="K96" s="18">
        <f t="shared" si="19"/>
        <v>0</v>
      </c>
      <c r="L96" s="18">
        <f t="shared" si="19"/>
        <v>0</v>
      </c>
      <c r="M96" s="18">
        <f t="shared" si="19"/>
        <v>0</v>
      </c>
      <c r="N96" s="18">
        <f t="shared" si="19"/>
        <v>0</v>
      </c>
      <c r="O96" s="18">
        <f t="shared" si="19"/>
        <v>0</v>
      </c>
      <c r="P96" s="18">
        <f t="shared" si="19"/>
        <v>0</v>
      </c>
    </row>
    <row r="97" spans="1:16" outlineLevel="1" x14ac:dyDescent="0.3">
      <c r="A97" s="19" t="s">
        <v>128</v>
      </c>
      <c r="B97" s="47" t="s">
        <v>129</v>
      </c>
      <c r="C97" s="48">
        <v>5113110</v>
      </c>
      <c r="D97" s="20">
        <f t="shared" ref="D97:D105" si="20">SUM(E97:P97)</f>
        <v>0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pans="1:16" outlineLevel="1" x14ac:dyDescent="0.3">
      <c r="A98" s="19" t="s">
        <v>130</v>
      </c>
      <c r="B98" s="47" t="s">
        <v>131</v>
      </c>
      <c r="C98" s="48">
        <v>5113120</v>
      </c>
      <c r="D98" s="20">
        <f t="shared" si="20"/>
        <v>0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pans="1:16" outlineLevel="1" x14ac:dyDescent="0.3">
      <c r="A99" s="19" t="s">
        <v>132</v>
      </c>
      <c r="B99" s="47" t="s">
        <v>133</v>
      </c>
      <c r="C99" s="48">
        <v>5113130</v>
      </c>
      <c r="D99" s="20">
        <f t="shared" si="20"/>
        <v>0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pans="1:16" outlineLevel="1" x14ac:dyDescent="0.3">
      <c r="A100" s="19" t="s">
        <v>134</v>
      </c>
      <c r="B100" s="47" t="s">
        <v>133</v>
      </c>
      <c r="C100" s="48">
        <v>5113140</v>
      </c>
      <c r="D100" s="20">
        <f t="shared" si="20"/>
        <v>0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pans="1:16" outlineLevel="1" x14ac:dyDescent="0.3">
      <c r="A101" s="19" t="s">
        <v>135</v>
      </c>
      <c r="B101" s="47" t="s">
        <v>136</v>
      </c>
      <c r="C101" s="48">
        <v>5113150</v>
      </c>
      <c r="D101" s="20">
        <f t="shared" si="20"/>
        <v>0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1:16" outlineLevel="1" x14ac:dyDescent="0.3">
      <c r="A102" s="19" t="s">
        <v>137</v>
      </c>
      <c r="B102" s="47" t="s">
        <v>133</v>
      </c>
      <c r="C102" s="48"/>
      <c r="D102" s="20">
        <f t="shared" si="20"/>
        <v>0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1:16" outlineLevel="1" x14ac:dyDescent="0.3">
      <c r="A103" s="19" t="s">
        <v>138</v>
      </c>
      <c r="B103" s="47" t="s">
        <v>133</v>
      </c>
      <c r="C103" s="48">
        <v>5113170</v>
      </c>
      <c r="D103" s="20">
        <f t="shared" si="20"/>
        <v>0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outlineLevel="1" x14ac:dyDescent="0.3">
      <c r="A104" s="19" t="s">
        <v>139</v>
      </c>
      <c r="B104" s="47" t="s">
        <v>3</v>
      </c>
      <c r="C104" s="48">
        <v>5113210</v>
      </c>
      <c r="D104" s="20">
        <f t="shared" si="20"/>
        <v>0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outlineLevel="1" x14ac:dyDescent="0.3">
      <c r="A105" s="19" t="s">
        <v>140</v>
      </c>
      <c r="B105" s="51" t="s">
        <v>141</v>
      </c>
      <c r="C105" s="48">
        <v>5113160</v>
      </c>
      <c r="D105" s="20">
        <f t="shared" si="20"/>
        <v>0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pans="1:16" x14ac:dyDescent="0.3">
      <c r="A106" s="15" t="s">
        <v>142</v>
      </c>
      <c r="B106" s="49" t="s">
        <v>3</v>
      </c>
      <c r="C106" s="50"/>
      <c r="D106" s="18">
        <f t="shared" ref="D106:P106" si="21">D107</f>
        <v>0</v>
      </c>
      <c r="E106" s="18">
        <f t="shared" si="21"/>
        <v>0</v>
      </c>
      <c r="F106" s="18">
        <f t="shared" si="21"/>
        <v>0</v>
      </c>
      <c r="G106" s="18">
        <f t="shared" si="21"/>
        <v>0</v>
      </c>
      <c r="H106" s="18">
        <f t="shared" si="21"/>
        <v>0</v>
      </c>
      <c r="I106" s="18">
        <f t="shared" si="21"/>
        <v>0</v>
      </c>
      <c r="J106" s="18">
        <f t="shared" si="21"/>
        <v>0</v>
      </c>
      <c r="K106" s="18">
        <f t="shared" si="21"/>
        <v>0</v>
      </c>
      <c r="L106" s="18">
        <f t="shared" si="21"/>
        <v>0</v>
      </c>
      <c r="M106" s="18">
        <f t="shared" si="21"/>
        <v>0</v>
      </c>
      <c r="N106" s="18">
        <f t="shared" si="21"/>
        <v>0</v>
      </c>
      <c r="O106" s="18">
        <f t="shared" si="21"/>
        <v>0</v>
      </c>
      <c r="P106" s="18">
        <f t="shared" si="21"/>
        <v>0</v>
      </c>
    </row>
    <row r="107" spans="1:16" outlineLevel="1" x14ac:dyDescent="0.3">
      <c r="A107" s="19" t="s">
        <v>143</v>
      </c>
      <c r="B107" s="47" t="s">
        <v>144</v>
      </c>
      <c r="C107" s="48">
        <v>5115110</v>
      </c>
      <c r="D107" s="20">
        <f>SUM(E107:P107)</f>
        <v>0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spans="1:16" x14ac:dyDescent="0.3">
      <c r="A108" s="15" t="s">
        <v>145</v>
      </c>
      <c r="B108" s="49" t="s">
        <v>3</v>
      </c>
      <c r="C108" s="50"/>
      <c r="D108" s="18">
        <f t="shared" ref="D108:P108" si="22">SUM(D109:D115)</f>
        <v>3600000</v>
      </c>
      <c r="E108" s="18">
        <f t="shared" si="22"/>
        <v>300000</v>
      </c>
      <c r="F108" s="18">
        <f t="shared" si="22"/>
        <v>300000</v>
      </c>
      <c r="G108" s="18">
        <f t="shared" si="22"/>
        <v>300000</v>
      </c>
      <c r="H108" s="18">
        <f t="shared" si="22"/>
        <v>300000</v>
      </c>
      <c r="I108" s="18">
        <f t="shared" si="22"/>
        <v>300000</v>
      </c>
      <c r="J108" s="18">
        <f t="shared" si="22"/>
        <v>300000</v>
      </c>
      <c r="K108" s="18">
        <f t="shared" si="22"/>
        <v>300000</v>
      </c>
      <c r="L108" s="18">
        <f t="shared" si="22"/>
        <v>300000</v>
      </c>
      <c r="M108" s="18">
        <f t="shared" si="22"/>
        <v>300000</v>
      </c>
      <c r="N108" s="18">
        <f t="shared" si="22"/>
        <v>300000</v>
      </c>
      <c r="O108" s="18">
        <f t="shared" si="22"/>
        <v>300000</v>
      </c>
      <c r="P108" s="18">
        <f t="shared" si="22"/>
        <v>300000</v>
      </c>
    </row>
    <row r="109" spans="1:16" outlineLevel="1" x14ac:dyDescent="0.3">
      <c r="A109" s="19" t="s">
        <v>146</v>
      </c>
      <c r="B109" s="47" t="s">
        <v>147</v>
      </c>
      <c r="C109" s="48">
        <v>5116110</v>
      </c>
      <c r="D109" s="20">
        <f t="shared" ref="D109:D115" si="23">SUM(E109:P109)</f>
        <v>0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spans="1:16" outlineLevel="1" x14ac:dyDescent="0.3">
      <c r="A110" s="19" t="s">
        <v>148</v>
      </c>
      <c r="B110" s="47" t="s">
        <v>147</v>
      </c>
      <c r="C110" s="48">
        <v>5116120</v>
      </c>
      <c r="D110" s="20">
        <f t="shared" si="23"/>
        <v>0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1:16" outlineLevel="1" x14ac:dyDescent="0.3">
      <c r="A111" s="19" t="s">
        <v>149</v>
      </c>
      <c r="B111" s="47" t="s">
        <v>150</v>
      </c>
      <c r="C111" s="48">
        <v>5116130</v>
      </c>
      <c r="D111" s="20">
        <f t="shared" si="23"/>
        <v>3000000</v>
      </c>
      <c r="E111" s="20">
        <v>250000</v>
      </c>
      <c r="F111" s="20">
        <v>250000</v>
      </c>
      <c r="G111" s="20">
        <v>250000</v>
      </c>
      <c r="H111" s="20">
        <v>250000</v>
      </c>
      <c r="I111" s="20">
        <v>250000</v>
      </c>
      <c r="J111" s="20">
        <v>250000</v>
      </c>
      <c r="K111" s="20">
        <v>250000</v>
      </c>
      <c r="L111" s="20">
        <v>250000</v>
      </c>
      <c r="M111" s="20">
        <v>250000</v>
      </c>
      <c r="N111" s="20">
        <v>250000</v>
      </c>
      <c r="O111" s="20">
        <v>250000</v>
      </c>
      <c r="P111" s="20">
        <v>250000</v>
      </c>
    </row>
    <row r="112" spans="1:16" outlineLevel="1" x14ac:dyDescent="0.3">
      <c r="A112" s="19" t="s">
        <v>151</v>
      </c>
      <c r="B112" s="47" t="s">
        <v>147</v>
      </c>
      <c r="C112" s="48">
        <v>5116140</v>
      </c>
      <c r="D112" s="20">
        <f t="shared" si="23"/>
        <v>0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spans="1:16" outlineLevel="1" x14ac:dyDescent="0.3">
      <c r="A113" s="19" t="s">
        <v>152</v>
      </c>
      <c r="B113" s="47" t="s">
        <v>150</v>
      </c>
      <c r="C113" s="48">
        <v>5116150</v>
      </c>
      <c r="D113" s="20">
        <f t="shared" si="23"/>
        <v>600000</v>
      </c>
      <c r="E113" s="20">
        <v>50000</v>
      </c>
      <c r="F113" s="20">
        <v>50000</v>
      </c>
      <c r="G113" s="20">
        <v>50000</v>
      </c>
      <c r="H113" s="20">
        <v>50000</v>
      </c>
      <c r="I113" s="20">
        <v>50000</v>
      </c>
      <c r="J113" s="20">
        <v>50000</v>
      </c>
      <c r="K113" s="20">
        <v>50000</v>
      </c>
      <c r="L113" s="20">
        <v>50000</v>
      </c>
      <c r="M113" s="20">
        <v>50000</v>
      </c>
      <c r="N113" s="20">
        <v>50000</v>
      </c>
      <c r="O113" s="20">
        <v>50000</v>
      </c>
      <c r="P113" s="20">
        <v>50000</v>
      </c>
    </row>
    <row r="114" spans="1:16" outlineLevel="1" x14ac:dyDescent="0.3">
      <c r="A114" s="19" t="s">
        <v>153</v>
      </c>
      <c r="B114" s="47" t="s">
        <v>147</v>
      </c>
      <c r="C114" s="48">
        <v>5116160</v>
      </c>
      <c r="D114" s="20">
        <f t="shared" si="23"/>
        <v>0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1:16" outlineLevel="1" x14ac:dyDescent="0.3">
      <c r="A115" s="19" t="s">
        <v>154</v>
      </c>
      <c r="B115" s="47" t="s">
        <v>147</v>
      </c>
      <c r="C115" s="48">
        <v>5116111</v>
      </c>
      <c r="D115" s="20">
        <f t="shared" si="23"/>
        <v>0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spans="1:16" x14ac:dyDescent="0.3">
      <c r="A116" s="15" t="s">
        <v>155</v>
      </c>
      <c r="B116" s="49" t="s">
        <v>3</v>
      </c>
      <c r="C116" s="50"/>
      <c r="D116" s="18">
        <f t="shared" ref="D116:P116" si="24">D117</f>
        <v>0</v>
      </c>
      <c r="E116" s="18">
        <f t="shared" si="24"/>
        <v>0</v>
      </c>
      <c r="F116" s="18">
        <f t="shared" si="24"/>
        <v>0</v>
      </c>
      <c r="G116" s="18">
        <f t="shared" si="24"/>
        <v>0</v>
      </c>
      <c r="H116" s="18">
        <f t="shared" si="24"/>
        <v>0</v>
      </c>
      <c r="I116" s="18">
        <f t="shared" si="24"/>
        <v>0</v>
      </c>
      <c r="J116" s="18">
        <f t="shared" si="24"/>
        <v>0</v>
      </c>
      <c r="K116" s="18">
        <f t="shared" si="24"/>
        <v>0</v>
      </c>
      <c r="L116" s="18">
        <f t="shared" si="24"/>
        <v>0</v>
      </c>
      <c r="M116" s="18">
        <f t="shared" si="24"/>
        <v>0</v>
      </c>
      <c r="N116" s="18">
        <f t="shared" si="24"/>
        <v>0</v>
      </c>
      <c r="O116" s="18">
        <f t="shared" si="24"/>
        <v>0</v>
      </c>
      <c r="P116" s="18">
        <f t="shared" si="24"/>
        <v>0</v>
      </c>
    </row>
    <row r="117" spans="1:16" outlineLevel="1" x14ac:dyDescent="0.3">
      <c r="A117" s="19" t="s">
        <v>156</v>
      </c>
      <c r="B117" s="47" t="s">
        <v>157</v>
      </c>
      <c r="C117" s="48">
        <v>5117110</v>
      </c>
      <c r="D117" s="20">
        <f>SUM(E117:P117)</f>
        <v>0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spans="1:16" x14ac:dyDescent="0.3">
      <c r="A118" s="15" t="s">
        <v>158</v>
      </c>
      <c r="B118" s="49" t="s">
        <v>3</v>
      </c>
      <c r="C118" s="50"/>
      <c r="D118" s="18">
        <f t="shared" ref="D118:P118" si="25">SUM(D119:D123)</f>
        <v>0</v>
      </c>
      <c r="E118" s="18">
        <f t="shared" si="25"/>
        <v>0</v>
      </c>
      <c r="F118" s="18">
        <f t="shared" si="25"/>
        <v>0</v>
      </c>
      <c r="G118" s="18">
        <f t="shared" si="25"/>
        <v>0</v>
      </c>
      <c r="H118" s="18">
        <f t="shared" si="25"/>
        <v>0</v>
      </c>
      <c r="I118" s="18">
        <f t="shared" si="25"/>
        <v>0</v>
      </c>
      <c r="J118" s="18">
        <f t="shared" si="25"/>
        <v>0</v>
      </c>
      <c r="K118" s="18">
        <f t="shared" si="25"/>
        <v>0</v>
      </c>
      <c r="L118" s="18">
        <f t="shared" si="25"/>
        <v>0</v>
      </c>
      <c r="M118" s="18">
        <f t="shared" si="25"/>
        <v>0</v>
      </c>
      <c r="N118" s="18">
        <f t="shared" si="25"/>
        <v>0</v>
      </c>
      <c r="O118" s="18">
        <f t="shared" si="25"/>
        <v>0</v>
      </c>
      <c r="P118" s="18">
        <f t="shared" si="25"/>
        <v>0</v>
      </c>
    </row>
    <row r="119" spans="1:16" outlineLevel="1" x14ac:dyDescent="0.3">
      <c r="A119" s="19" t="s">
        <v>159</v>
      </c>
      <c r="B119" s="47" t="s">
        <v>160</v>
      </c>
      <c r="C119" s="48">
        <v>5118110</v>
      </c>
      <c r="D119" s="20">
        <f>SUM(E119:P119)</f>
        <v>0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spans="1:16" outlineLevel="1" x14ac:dyDescent="0.3">
      <c r="A120" s="19" t="s">
        <v>161</v>
      </c>
      <c r="B120" s="47" t="s">
        <v>162</v>
      </c>
      <c r="C120" s="48">
        <v>5118120</v>
      </c>
      <c r="D120" s="20">
        <f>SUM(E120:P120)</f>
        <v>0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pans="1:16" outlineLevel="1" x14ac:dyDescent="0.3">
      <c r="A121" s="19" t="s">
        <v>163</v>
      </c>
      <c r="B121" s="47" t="s">
        <v>164</v>
      </c>
      <c r="C121" s="48">
        <v>5118130</v>
      </c>
      <c r="D121" s="20">
        <f>SUM(E121:P121)</f>
        <v>0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pans="1:16" outlineLevel="1" x14ac:dyDescent="0.3">
      <c r="A122" s="19" t="s">
        <v>165</v>
      </c>
      <c r="B122" s="47" t="s">
        <v>3</v>
      </c>
      <c r="C122" s="48">
        <v>5118140</v>
      </c>
      <c r="D122" s="20">
        <f>SUM(E122:P122)</f>
        <v>0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1:16" outlineLevel="1" x14ac:dyDescent="0.3">
      <c r="A123" s="19" t="s">
        <v>166</v>
      </c>
      <c r="B123" s="47" t="s">
        <v>3</v>
      </c>
      <c r="C123" s="48">
        <v>5118150</v>
      </c>
      <c r="D123" s="20">
        <f>SUM(E123:P123)</f>
        <v>0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pans="1:16" x14ac:dyDescent="0.3">
      <c r="A124" s="15" t="s">
        <v>167</v>
      </c>
      <c r="B124" s="49" t="s">
        <v>3</v>
      </c>
      <c r="C124" s="50"/>
      <c r="D124" s="18">
        <f t="shared" ref="D124:P124" si="26">SUM(D125:D126)</f>
        <v>8000000</v>
      </c>
      <c r="E124" s="18">
        <f t="shared" si="26"/>
        <v>666666</v>
      </c>
      <c r="F124" s="18">
        <f t="shared" si="26"/>
        <v>666667</v>
      </c>
      <c r="G124" s="18">
        <f t="shared" si="26"/>
        <v>666667</v>
      </c>
      <c r="H124" s="18">
        <f t="shared" si="26"/>
        <v>666666</v>
      </c>
      <c r="I124" s="18">
        <f t="shared" si="26"/>
        <v>666667</v>
      </c>
      <c r="J124" s="18">
        <f t="shared" si="26"/>
        <v>666667</v>
      </c>
      <c r="K124" s="18">
        <f t="shared" si="26"/>
        <v>666666</v>
      </c>
      <c r="L124" s="18">
        <f t="shared" si="26"/>
        <v>666667</v>
      </c>
      <c r="M124" s="18">
        <f t="shared" si="26"/>
        <v>666667</v>
      </c>
      <c r="N124" s="18">
        <f t="shared" si="26"/>
        <v>666666</v>
      </c>
      <c r="O124" s="18">
        <f t="shared" si="26"/>
        <v>666667</v>
      </c>
      <c r="P124" s="18">
        <f t="shared" si="26"/>
        <v>666667</v>
      </c>
    </row>
    <row r="125" spans="1:16" outlineLevel="1" x14ac:dyDescent="0.3">
      <c r="A125" s="19" t="s">
        <v>168</v>
      </c>
      <c r="B125" s="47" t="s">
        <v>169</v>
      </c>
      <c r="C125" s="48">
        <v>5130110</v>
      </c>
      <c r="D125" s="20">
        <f>SUM(E125:P125)</f>
        <v>0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1:16" outlineLevel="1" x14ac:dyDescent="0.3">
      <c r="A126" s="19" t="s">
        <v>170</v>
      </c>
      <c r="B126" s="47" t="s">
        <v>171</v>
      </c>
      <c r="C126" s="48">
        <v>5130120</v>
      </c>
      <c r="D126" s="20">
        <f>SUM(E126:P126)</f>
        <v>8000000</v>
      </c>
      <c r="E126" s="20">
        <v>666666</v>
      </c>
      <c r="F126" s="20">
        <v>666667</v>
      </c>
      <c r="G126" s="20">
        <v>666667</v>
      </c>
      <c r="H126" s="20">
        <v>666666</v>
      </c>
      <c r="I126" s="20">
        <v>666667</v>
      </c>
      <c r="J126" s="20">
        <v>666667</v>
      </c>
      <c r="K126" s="20">
        <v>666666</v>
      </c>
      <c r="L126" s="20">
        <v>666667</v>
      </c>
      <c r="M126" s="20">
        <v>666667</v>
      </c>
      <c r="N126" s="20">
        <v>666666</v>
      </c>
      <c r="O126" s="20">
        <v>666667</v>
      </c>
      <c r="P126" s="20">
        <v>666667</v>
      </c>
    </row>
    <row r="127" spans="1:16" x14ac:dyDescent="0.3">
      <c r="A127" s="15" t="s">
        <v>172</v>
      </c>
      <c r="B127" s="49" t="s">
        <v>3</v>
      </c>
      <c r="C127" s="50"/>
      <c r="D127" s="18">
        <f t="shared" ref="D127:P127" si="27">SUM(D128:D135)</f>
        <v>0</v>
      </c>
      <c r="E127" s="18">
        <f t="shared" si="27"/>
        <v>0</v>
      </c>
      <c r="F127" s="18">
        <f t="shared" si="27"/>
        <v>0</v>
      </c>
      <c r="G127" s="18">
        <f t="shared" si="27"/>
        <v>0</v>
      </c>
      <c r="H127" s="18">
        <f t="shared" si="27"/>
        <v>0</v>
      </c>
      <c r="I127" s="18">
        <f t="shared" si="27"/>
        <v>0</v>
      </c>
      <c r="J127" s="18">
        <f t="shared" si="27"/>
        <v>0</v>
      </c>
      <c r="K127" s="18">
        <f t="shared" si="27"/>
        <v>0</v>
      </c>
      <c r="L127" s="18">
        <f t="shared" si="27"/>
        <v>0</v>
      </c>
      <c r="M127" s="18">
        <f t="shared" si="27"/>
        <v>0</v>
      </c>
      <c r="N127" s="18">
        <f t="shared" si="27"/>
        <v>0</v>
      </c>
      <c r="O127" s="18">
        <f t="shared" si="27"/>
        <v>0</v>
      </c>
      <c r="P127" s="18">
        <f t="shared" si="27"/>
        <v>0</v>
      </c>
    </row>
    <row r="128" spans="1:16" outlineLevel="1" x14ac:dyDescent="0.3">
      <c r="A128" s="19" t="s">
        <v>173</v>
      </c>
      <c r="B128" s="47" t="s">
        <v>174</v>
      </c>
      <c r="C128" s="48">
        <v>5119110</v>
      </c>
      <c r="D128" s="20">
        <f t="shared" ref="D128:D135" si="28">SUM(E128:P128)</f>
        <v>0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pans="1:16" outlineLevel="1" x14ac:dyDescent="0.3">
      <c r="A129" s="19" t="s">
        <v>175</v>
      </c>
      <c r="B129" s="47" t="s">
        <v>176</v>
      </c>
      <c r="C129" s="48">
        <v>5119120</v>
      </c>
      <c r="D129" s="20">
        <f t="shared" si="28"/>
        <v>0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spans="1:16" outlineLevel="1" x14ac:dyDescent="0.3">
      <c r="A130" s="19" t="s">
        <v>177</v>
      </c>
      <c r="B130" s="47" t="s">
        <v>178</v>
      </c>
      <c r="C130" s="48">
        <v>5119130</v>
      </c>
      <c r="D130" s="20">
        <f t="shared" si="28"/>
        <v>0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spans="1:16" outlineLevel="1" x14ac:dyDescent="0.3">
      <c r="A131" s="19" t="s">
        <v>179</v>
      </c>
      <c r="B131" s="47" t="s">
        <v>180</v>
      </c>
      <c r="C131" s="48">
        <v>5119140</v>
      </c>
      <c r="D131" s="20">
        <f t="shared" si="28"/>
        <v>0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spans="1:16" outlineLevel="1" x14ac:dyDescent="0.3">
      <c r="A132" s="19" t="s">
        <v>181</v>
      </c>
      <c r="B132" s="47" t="s">
        <v>182</v>
      </c>
      <c r="C132" s="48">
        <v>5119150</v>
      </c>
      <c r="D132" s="20">
        <f t="shared" si="28"/>
        <v>0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</row>
    <row r="133" spans="1:16" outlineLevel="1" x14ac:dyDescent="0.3">
      <c r="A133" s="19" t="s">
        <v>183</v>
      </c>
      <c r="B133" s="47" t="s">
        <v>184</v>
      </c>
      <c r="C133" s="48">
        <v>5119160</v>
      </c>
      <c r="D133" s="20">
        <f t="shared" si="28"/>
        <v>0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pans="1:16" outlineLevel="1" x14ac:dyDescent="0.3">
      <c r="A134" s="19" t="s">
        <v>185</v>
      </c>
      <c r="B134" s="47" t="s">
        <v>185</v>
      </c>
      <c r="C134" s="48">
        <v>5119121</v>
      </c>
      <c r="D134" s="20">
        <f t="shared" si="28"/>
        <v>0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spans="1:16" outlineLevel="1" x14ac:dyDescent="0.3">
      <c r="A135" s="19" t="s">
        <v>186</v>
      </c>
      <c r="B135" s="51" t="s">
        <v>187</v>
      </c>
      <c r="C135" s="48">
        <v>5119151</v>
      </c>
      <c r="D135" s="20">
        <f t="shared" si="28"/>
        <v>0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pans="1:16" x14ac:dyDescent="0.3">
      <c r="A136" s="15" t="s">
        <v>188</v>
      </c>
      <c r="B136" s="49" t="s">
        <v>3</v>
      </c>
      <c r="C136" s="50"/>
      <c r="D136" s="18">
        <f t="shared" ref="D136:P136" si="29">SUM(D137:D140)</f>
        <v>0</v>
      </c>
      <c r="E136" s="18">
        <f t="shared" si="29"/>
        <v>0</v>
      </c>
      <c r="F136" s="18">
        <f t="shared" si="29"/>
        <v>0</v>
      </c>
      <c r="G136" s="18">
        <f t="shared" si="29"/>
        <v>0</v>
      </c>
      <c r="H136" s="18">
        <f t="shared" si="29"/>
        <v>0</v>
      </c>
      <c r="I136" s="18">
        <f t="shared" si="29"/>
        <v>0</v>
      </c>
      <c r="J136" s="18">
        <f t="shared" si="29"/>
        <v>0</v>
      </c>
      <c r="K136" s="18">
        <f t="shared" si="29"/>
        <v>0</v>
      </c>
      <c r="L136" s="18">
        <f t="shared" si="29"/>
        <v>0</v>
      </c>
      <c r="M136" s="18">
        <f t="shared" si="29"/>
        <v>0</v>
      </c>
      <c r="N136" s="18">
        <f t="shared" si="29"/>
        <v>0</v>
      </c>
      <c r="O136" s="18">
        <f t="shared" si="29"/>
        <v>0</v>
      </c>
      <c r="P136" s="18">
        <f t="shared" si="29"/>
        <v>0</v>
      </c>
    </row>
    <row r="137" spans="1:16" outlineLevel="1" x14ac:dyDescent="0.3">
      <c r="A137" s="19" t="s">
        <v>189</v>
      </c>
      <c r="B137" s="47" t="s">
        <v>190</v>
      </c>
      <c r="C137" s="48">
        <v>5120110</v>
      </c>
      <c r="D137" s="20">
        <f>SUM(E137:P137)</f>
        <v>0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spans="1:16" outlineLevel="1" x14ac:dyDescent="0.3">
      <c r="A138" s="22" t="s">
        <v>191</v>
      </c>
      <c r="B138" s="47" t="s">
        <v>190</v>
      </c>
      <c r="C138" s="48">
        <v>5120140</v>
      </c>
      <c r="D138" s="20">
        <f>SUM(E138:P138)</f>
        <v>0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spans="1:16" outlineLevel="1" x14ac:dyDescent="0.3">
      <c r="A139" s="22" t="s">
        <v>192</v>
      </c>
      <c r="B139" s="47" t="s">
        <v>190</v>
      </c>
      <c r="C139" s="48">
        <v>5120130</v>
      </c>
      <c r="D139" s="20">
        <f>SUM(E139:P139)</f>
        <v>0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16" outlineLevel="1" x14ac:dyDescent="0.3">
      <c r="A140" s="19" t="s">
        <v>193</v>
      </c>
      <c r="B140" s="47" t="s">
        <v>190</v>
      </c>
      <c r="C140" s="48">
        <v>5120120</v>
      </c>
      <c r="D140" s="20">
        <f>SUM(E140:P140)</f>
        <v>0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spans="1:16" x14ac:dyDescent="0.3">
      <c r="A141" s="15" t="s">
        <v>194</v>
      </c>
      <c r="B141" s="49" t="s">
        <v>3</v>
      </c>
      <c r="C141" s="50"/>
      <c r="D141" s="18">
        <f t="shared" ref="D141:P141" si="30">SUM(D142:D145)</f>
        <v>0</v>
      </c>
      <c r="E141" s="18">
        <f t="shared" si="30"/>
        <v>0</v>
      </c>
      <c r="F141" s="18">
        <f t="shared" si="30"/>
        <v>0</v>
      </c>
      <c r="G141" s="18">
        <f t="shared" si="30"/>
        <v>0</v>
      </c>
      <c r="H141" s="18">
        <f t="shared" si="30"/>
        <v>0</v>
      </c>
      <c r="I141" s="18">
        <f t="shared" si="30"/>
        <v>0</v>
      </c>
      <c r="J141" s="18">
        <f t="shared" si="30"/>
        <v>0</v>
      </c>
      <c r="K141" s="18">
        <f t="shared" si="30"/>
        <v>0</v>
      </c>
      <c r="L141" s="18">
        <f t="shared" si="30"/>
        <v>0</v>
      </c>
      <c r="M141" s="18">
        <f t="shared" si="30"/>
        <v>0</v>
      </c>
      <c r="N141" s="18">
        <f t="shared" si="30"/>
        <v>0</v>
      </c>
      <c r="O141" s="18">
        <f t="shared" si="30"/>
        <v>0</v>
      </c>
      <c r="P141" s="18">
        <f t="shared" si="30"/>
        <v>0</v>
      </c>
    </row>
    <row r="142" spans="1:16" outlineLevel="1" x14ac:dyDescent="0.3">
      <c r="A142" s="19" t="s">
        <v>195</v>
      </c>
      <c r="B142" s="47" t="s">
        <v>195</v>
      </c>
      <c r="C142" s="48">
        <v>5121110</v>
      </c>
      <c r="D142" s="20">
        <f>SUM(E142:P142)</f>
        <v>0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spans="1:16" outlineLevel="1" x14ac:dyDescent="0.3">
      <c r="A143" s="19" t="s">
        <v>196</v>
      </c>
      <c r="B143" s="47" t="s">
        <v>196</v>
      </c>
      <c r="C143" s="48">
        <v>5121120</v>
      </c>
      <c r="D143" s="20">
        <f>SUM(E143:P143)</f>
        <v>0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pans="1:16" outlineLevel="1" x14ac:dyDescent="0.3">
      <c r="A144" s="19" t="s">
        <v>197</v>
      </c>
      <c r="B144" s="47" t="s">
        <v>197</v>
      </c>
      <c r="C144" s="48">
        <v>5121140</v>
      </c>
      <c r="D144" s="20">
        <f>SUM(E144:P144)</f>
        <v>0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pans="1:16" outlineLevel="1" x14ac:dyDescent="0.3">
      <c r="A145" s="19" t="s">
        <v>198</v>
      </c>
      <c r="B145" s="47" t="s">
        <v>199</v>
      </c>
      <c r="C145" s="48">
        <v>5121150</v>
      </c>
      <c r="D145" s="20">
        <f>SUM(E145:P145)</f>
        <v>0</v>
      </c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spans="1:16" x14ac:dyDescent="0.3">
      <c r="A146" s="15" t="s">
        <v>200</v>
      </c>
      <c r="B146" s="49" t="s">
        <v>3</v>
      </c>
      <c r="C146" s="50"/>
      <c r="D146" s="18">
        <f t="shared" ref="D146:P146" si="31">SUM(D147:D150)</f>
        <v>2400000</v>
      </c>
      <c r="E146" s="18">
        <f t="shared" si="31"/>
        <v>200000</v>
      </c>
      <c r="F146" s="18">
        <f t="shared" si="31"/>
        <v>200000</v>
      </c>
      <c r="G146" s="18">
        <f t="shared" si="31"/>
        <v>200000</v>
      </c>
      <c r="H146" s="18">
        <f t="shared" si="31"/>
        <v>200000</v>
      </c>
      <c r="I146" s="18">
        <f t="shared" si="31"/>
        <v>200000</v>
      </c>
      <c r="J146" s="18">
        <f t="shared" si="31"/>
        <v>200000</v>
      </c>
      <c r="K146" s="18">
        <f t="shared" si="31"/>
        <v>200000</v>
      </c>
      <c r="L146" s="18">
        <f t="shared" si="31"/>
        <v>200000</v>
      </c>
      <c r="M146" s="18">
        <f t="shared" si="31"/>
        <v>200000</v>
      </c>
      <c r="N146" s="18">
        <f t="shared" si="31"/>
        <v>200000</v>
      </c>
      <c r="O146" s="18">
        <f t="shared" si="31"/>
        <v>200000</v>
      </c>
      <c r="P146" s="18">
        <f t="shared" si="31"/>
        <v>200000</v>
      </c>
    </row>
    <row r="147" spans="1:16" outlineLevel="1" x14ac:dyDescent="0.3">
      <c r="A147" s="19" t="s">
        <v>201</v>
      </c>
      <c r="B147" s="47" t="s">
        <v>202</v>
      </c>
      <c r="C147" s="48">
        <v>5122110</v>
      </c>
      <c r="D147" s="20">
        <f>SUM(E147:P147)</f>
        <v>0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pans="1:16" outlineLevel="1" x14ac:dyDescent="0.3">
      <c r="A148" s="19" t="s">
        <v>203</v>
      </c>
      <c r="B148" s="47" t="s">
        <v>204</v>
      </c>
      <c r="C148" s="48">
        <v>5122120</v>
      </c>
      <c r="D148" s="20">
        <f>SUM(E148:P148)</f>
        <v>0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spans="1:16" outlineLevel="1" x14ac:dyDescent="0.3">
      <c r="A149" s="22" t="s">
        <v>205</v>
      </c>
      <c r="B149" s="47" t="s">
        <v>206</v>
      </c>
      <c r="C149" s="48">
        <v>5122130</v>
      </c>
      <c r="D149" s="20">
        <f>SUM(E149:P149)</f>
        <v>0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spans="1:16" outlineLevel="1" x14ac:dyDescent="0.3">
      <c r="A150" s="19" t="s">
        <v>207</v>
      </c>
      <c r="B150" s="47" t="s">
        <v>208</v>
      </c>
      <c r="C150" s="48">
        <v>5122140</v>
      </c>
      <c r="D150" s="20">
        <f>SUM(E150:P150)</f>
        <v>2400000</v>
      </c>
      <c r="E150" s="20">
        <v>200000</v>
      </c>
      <c r="F150" s="20">
        <v>200000</v>
      </c>
      <c r="G150" s="20">
        <v>200000</v>
      </c>
      <c r="H150" s="20">
        <v>200000</v>
      </c>
      <c r="I150" s="20">
        <v>200000</v>
      </c>
      <c r="J150" s="20">
        <v>200000</v>
      </c>
      <c r="K150" s="20">
        <v>200000</v>
      </c>
      <c r="L150" s="20">
        <v>200000</v>
      </c>
      <c r="M150" s="20">
        <v>200000</v>
      </c>
      <c r="N150" s="20">
        <v>200000</v>
      </c>
      <c r="O150" s="20">
        <v>200000</v>
      </c>
      <c r="P150" s="20">
        <v>200000</v>
      </c>
    </row>
    <row r="151" spans="1:16" x14ac:dyDescent="0.3">
      <c r="A151" s="15" t="s">
        <v>209</v>
      </c>
      <c r="B151" s="49" t="s">
        <v>3</v>
      </c>
      <c r="C151" s="50"/>
      <c r="D151" s="18">
        <f t="shared" ref="D151:P151" si="32">SUM(D152:D154)</f>
        <v>0</v>
      </c>
      <c r="E151" s="18">
        <f t="shared" si="32"/>
        <v>0</v>
      </c>
      <c r="F151" s="18">
        <f t="shared" si="32"/>
        <v>0</v>
      </c>
      <c r="G151" s="18">
        <f t="shared" si="32"/>
        <v>0</v>
      </c>
      <c r="H151" s="18">
        <f t="shared" si="32"/>
        <v>0</v>
      </c>
      <c r="I151" s="18">
        <f t="shared" si="32"/>
        <v>0</v>
      </c>
      <c r="J151" s="18">
        <f t="shared" si="32"/>
        <v>0</v>
      </c>
      <c r="K151" s="18">
        <f t="shared" si="32"/>
        <v>0</v>
      </c>
      <c r="L151" s="18">
        <f t="shared" si="32"/>
        <v>0</v>
      </c>
      <c r="M151" s="18">
        <f t="shared" si="32"/>
        <v>0</v>
      </c>
      <c r="N151" s="18">
        <f t="shared" si="32"/>
        <v>0</v>
      </c>
      <c r="O151" s="18">
        <f t="shared" si="32"/>
        <v>0</v>
      </c>
      <c r="P151" s="18">
        <f t="shared" si="32"/>
        <v>0</v>
      </c>
    </row>
    <row r="152" spans="1:16" outlineLevel="1" x14ac:dyDescent="0.3">
      <c r="A152" s="19" t="s">
        <v>210</v>
      </c>
      <c r="B152" s="47" t="s">
        <v>211</v>
      </c>
      <c r="C152" s="48">
        <v>5123110</v>
      </c>
      <c r="D152" s="20">
        <f>SUM(E152:P152)</f>
        <v>0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pans="1:16" outlineLevel="1" x14ac:dyDescent="0.3">
      <c r="A153" s="19" t="s">
        <v>212</v>
      </c>
      <c r="B153" s="47" t="s">
        <v>213</v>
      </c>
      <c r="C153" s="48">
        <v>5123120</v>
      </c>
      <c r="D153" s="20">
        <f>SUM(E153:P153)</f>
        <v>0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spans="1:16" outlineLevel="1" x14ac:dyDescent="0.3">
      <c r="A154" s="34" t="s">
        <v>214</v>
      </c>
      <c r="B154" s="52" t="s">
        <v>215</v>
      </c>
      <c r="C154" s="53">
        <v>5123130</v>
      </c>
      <c r="D154" s="37">
        <f>SUM(E154:P154)</f>
        <v>0</v>
      </c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8351-C2ED-44E6-A0C7-0975D8676A14}">
  <sheetPr>
    <tabColor theme="9"/>
  </sheetPr>
  <dimension ref="A1:P154"/>
  <sheetViews>
    <sheetView zoomScale="85" zoomScaleNormal="85" workbookViewId="0">
      <pane xSplit="3" ySplit="3" topLeftCell="D4" activePane="bottomRight" state="frozen"/>
      <selection activeCell="BF17" sqref="BF17"/>
      <selection pane="topRight" activeCell="BF17" sqref="BF17"/>
      <selection pane="bottomLeft" activeCell="BF17" sqref="BF17"/>
      <selection pane="bottomRight" activeCell="A19" sqref="A19"/>
    </sheetView>
  </sheetViews>
  <sheetFormatPr defaultColWidth="9" defaultRowHeight="16.5" outlineLevelRow="1" outlineLevelCol="1" x14ac:dyDescent="0.3"/>
  <cols>
    <col min="1" max="1" width="41" style="1" customWidth="1"/>
    <col min="2" max="2" width="27.75" style="1" customWidth="1" outlineLevel="1"/>
    <col min="3" max="3" width="9.25" style="2" customWidth="1" outlineLevel="1"/>
    <col min="4" max="4" width="14.25" style="1" bestFit="1" customWidth="1"/>
    <col min="5" max="16" width="14.25" style="1" customWidth="1" outlineLevel="1"/>
    <col min="17" max="16384" width="9" style="1"/>
  </cols>
  <sheetData>
    <row r="1" spans="1:16" x14ac:dyDescent="0.3">
      <c r="A1" s="41" t="s">
        <v>218</v>
      </c>
      <c r="E1" s="57"/>
    </row>
    <row r="2" spans="1:16" x14ac:dyDescent="0.3">
      <c r="A2" s="3" t="s">
        <v>219</v>
      </c>
    </row>
    <row r="3" spans="1:16" x14ac:dyDescent="0.3">
      <c r="A3" s="4" t="s">
        <v>0</v>
      </c>
      <c r="B3" s="4" t="s">
        <v>1</v>
      </c>
      <c r="C3" s="5" t="s">
        <v>2</v>
      </c>
      <c r="D3" s="6">
        <v>2026</v>
      </c>
      <c r="E3" s="6">
        <v>2026.01</v>
      </c>
      <c r="F3" s="6">
        <v>2026.02</v>
      </c>
      <c r="G3" s="6">
        <v>2026.03</v>
      </c>
      <c r="H3" s="6">
        <v>2026.04</v>
      </c>
      <c r="I3" s="6">
        <v>2026.05</v>
      </c>
      <c r="J3" s="6">
        <v>2026.06</v>
      </c>
      <c r="K3" s="6">
        <v>2026.07</v>
      </c>
      <c r="L3" s="6">
        <v>2026.08</v>
      </c>
      <c r="M3" s="6">
        <v>2026.09</v>
      </c>
      <c r="N3" s="44">
        <v>2026.1</v>
      </c>
      <c r="O3" s="6">
        <v>2026.11</v>
      </c>
      <c r="P3" s="6">
        <v>2026.12</v>
      </c>
    </row>
    <row r="4" spans="1:16" x14ac:dyDescent="0.3">
      <c r="A4" s="7" t="s">
        <v>4</v>
      </c>
      <c r="B4" s="8" t="s">
        <v>3</v>
      </c>
      <c r="C4" s="9"/>
      <c r="D4" s="10">
        <f t="shared" ref="D4:P4" si="0">D5+D24+D30+D38+D46+D57+D66+D78+D85+D93+D96+D106+D108+D116+D118+D124+D127+D136+D141+D146+D151</f>
        <v>3726603892</v>
      </c>
      <c r="E4" s="10">
        <f t="shared" si="0"/>
        <v>306191991</v>
      </c>
      <c r="F4" s="10">
        <f t="shared" si="0"/>
        <v>316191991</v>
      </c>
      <c r="G4" s="10">
        <f t="shared" si="0"/>
        <v>416091991</v>
      </c>
      <c r="H4" s="10">
        <f t="shared" si="0"/>
        <v>299491991</v>
      </c>
      <c r="I4" s="10">
        <f t="shared" si="0"/>
        <v>309491991</v>
      </c>
      <c r="J4" s="10">
        <f t="shared" si="0"/>
        <v>309391991</v>
      </c>
      <c r="K4" s="10">
        <f t="shared" si="0"/>
        <v>300158658</v>
      </c>
      <c r="L4" s="10">
        <f t="shared" si="0"/>
        <v>290158658</v>
      </c>
      <c r="M4" s="10">
        <f t="shared" si="0"/>
        <v>300058657</v>
      </c>
      <c r="N4" s="10">
        <f t="shared" si="0"/>
        <v>286491991</v>
      </c>
      <c r="O4" s="10">
        <f t="shared" si="0"/>
        <v>296491991</v>
      </c>
      <c r="P4" s="10">
        <f t="shared" si="0"/>
        <v>296391991</v>
      </c>
    </row>
    <row r="5" spans="1:16" x14ac:dyDescent="0.3">
      <c r="A5" s="15" t="s">
        <v>5</v>
      </c>
      <c r="B5" s="16" t="s">
        <v>3</v>
      </c>
      <c r="C5" s="17"/>
      <c r="D5" s="25">
        <f t="shared" ref="D5" si="1">SUM(D6:D23)</f>
        <v>198000000</v>
      </c>
      <c r="E5" s="25">
        <f>SUM(E6:E23)</f>
        <v>16500000</v>
      </c>
      <c r="F5" s="25">
        <f t="shared" ref="F5:P5" si="2">SUM(F6:F23)</f>
        <v>16500000</v>
      </c>
      <c r="G5" s="25">
        <f t="shared" si="2"/>
        <v>16500000</v>
      </c>
      <c r="H5" s="25">
        <f t="shared" si="2"/>
        <v>16500000</v>
      </c>
      <c r="I5" s="25">
        <f t="shared" si="2"/>
        <v>16500000</v>
      </c>
      <c r="J5" s="25">
        <f t="shared" si="2"/>
        <v>16500000</v>
      </c>
      <c r="K5" s="25">
        <f t="shared" si="2"/>
        <v>16500000</v>
      </c>
      <c r="L5" s="25">
        <f t="shared" si="2"/>
        <v>16500000</v>
      </c>
      <c r="M5" s="25">
        <f t="shared" si="2"/>
        <v>16500000</v>
      </c>
      <c r="N5" s="25">
        <f t="shared" si="2"/>
        <v>16500000</v>
      </c>
      <c r="O5" s="25">
        <f t="shared" si="2"/>
        <v>16500000</v>
      </c>
      <c r="P5" s="25">
        <f t="shared" si="2"/>
        <v>16500000</v>
      </c>
    </row>
    <row r="6" spans="1:16" outlineLevel="1" x14ac:dyDescent="0.3">
      <c r="A6" s="19" t="s">
        <v>6</v>
      </c>
      <c r="B6" s="11" t="s">
        <v>7</v>
      </c>
      <c r="C6" s="12">
        <v>5103260</v>
      </c>
      <c r="D6" s="13">
        <f t="shared" ref="D6:D23" si="3">SUM(E6:P6)</f>
        <v>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outlineLevel="1" x14ac:dyDescent="0.3">
      <c r="A7" s="19" t="s">
        <v>8</v>
      </c>
      <c r="B7" s="11" t="s">
        <v>9</v>
      </c>
      <c r="C7" s="12">
        <v>5103250</v>
      </c>
      <c r="D7" s="13">
        <f t="shared" si="3"/>
        <v>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 outlineLevel="1" x14ac:dyDescent="0.3">
      <c r="A8" s="19" t="s">
        <v>10</v>
      </c>
      <c r="B8" s="11" t="s">
        <v>11</v>
      </c>
      <c r="C8" s="12">
        <v>5103240</v>
      </c>
      <c r="D8" s="13">
        <f t="shared" si="3"/>
        <v>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1:16" outlineLevel="1" x14ac:dyDescent="0.3">
      <c r="A9" s="19" t="s">
        <v>12</v>
      </c>
      <c r="B9" s="11" t="s">
        <v>13</v>
      </c>
      <c r="C9" s="12">
        <v>5103230</v>
      </c>
      <c r="D9" s="13">
        <f t="shared" si="3"/>
        <v>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outlineLevel="1" x14ac:dyDescent="0.3">
      <c r="A10" s="19" t="s">
        <v>14</v>
      </c>
      <c r="B10" s="11" t="s">
        <v>15</v>
      </c>
      <c r="C10" s="12">
        <v>5103220</v>
      </c>
      <c r="D10" s="13">
        <f t="shared" si="3"/>
        <v>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outlineLevel="1" x14ac:dyDescent="0.3">
      <c r="A11" s="19" t="s">
        <v>16</v>
      </c>
      <c r="B11" s="11" t="s">
        <v>16</v>
      </c>
      <c r="C11" s="12">
        <v>5103210</v>
      </c>
      <c r="D11" s="13">
        <f t="shared" si="3"/>
        <v>600000</v>
      </c>
      <c r="E11" s="13">
        <v>50000</v>
      </c>
      <c r="F11" s="13">
        <v>50000</v>
      </c>
      <c r="G11" s="13">
        <v>50000</v>
      </c>
      <c r="H11" s="13">
        <v>50000</v>
      </c>
      <c r="I11" s="13">
        <v>50000</v>
      </c>
      <c r="J11" s="13">
        <v>50000</v>
      </c>
      <c r="K11" s="13">
        <v>50000</v>
      </c>
      <c r="L11" s="13">
        <v>50000</v>
      </c>
      <c r="M11" s="13">
        <v>50000</v>
      </c>
      <c r="N11" s="13">
        <v>50000</v>
      </c>
      <c r="O11" s="13">
        <v>50000</v>
      </c>
      <c r="P11" s="13">
        <v>50000</v>
      </c>
    </row>
    <row r="12" spans="1:16" outlineLevel="1" x14ac:dyDescent="0.3">
      <c r="A12" s="19" t="s">
        <v>17</v>
      </c>
      <c r="B12" s="11" t="s">
        <v>18</v>
      </c>
      <c r="C12" s="12">
        <v>5103190</v>
      </c>
      <c r="D12" s="13">
        <f t="shared" si="3"/>
        <v>1920000</v>
      </c>
      <c r="E12" s="13">
        <v>160000</v>
      </c>
      <c r="F12" s="13">
        <v>160000</v>
      </c>
      <c r="G12" s="13">
        <v>160000</v>
      </c>
      <c r="H12" s="13">
        <v>160000</v>
      </c>
      <c r="I12" s="13">
        <v>160000</v>
      </c>
      <c r="J12" s="13">
        <v>160000</v>
      </c>
      <c r="K12" s="13">
        <v>160000</v>
      </c>
      <c r="L12" s="13">
        <v>160000</v>
      </c>
      <c r="M12" s="13">
        <v>160000</v>
      </c>
      <c r="N12" s="13">
        <v>160000</v>
      </c>
      <c r="O12" s="13">
        <v>160000</v>
      </c>
      <c r="P12" s="13">
        <v>160000</v>
      </c>
    </row>
    <row r="13" spans="1:16" outlineLevel="1" x14ac:dyDescent="0.3">
      <c r="A13" s="19" t="s">
        <v>19</v>
      </c>
      <c r="B13" s="11" t="s">
        <v>20</v>
      </c>
      <c r="C13" s="12">
        <v>5103180</v>
      </c>
      <c r="D13" s="13">
        <f t="shared" si="3"/>
        <v>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6" outlineLevel="1" x14ac:dyDescent="0.3">
      <c r="A14" s="19" t="s">
        <v>21</v>
      </c>
      <c r="B14" s="11" t="s">
        <v>22</v>
      </c>
      <c r="C14" s="12">
        <v>5103170</v>
      </c>
      <c r="D14" s="13">
        <f t="shared" si="3"/>
        <v>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outlineLevel="1" x14ac:dyDescent="0.3">
      <c r="A15" s="19" t="s">
        <v>23</v>
      </c>
      <c r="B15" s="11" t="s">
        <v>24</v>
      </c>
      <c r="C15" s="12">
        <v>5103160</v>
      </c>
      <c r="D15" s="13">
        <f t="shared" si="3"/>
        <v>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outlineLevel="1" x14ac:dyDescent="0.3">
      <c r="A16" s="19" t="s">
        <v>25</v>
      </c>
      <c r="B16" s="11" t="s">
        <v>26</v>
      </c>
      <c r="C16" s="12">
        <v>5103150</v>
      </c>
      <c r="D16" s="13">
        <f t="shared" si="3"/>
        <v>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outlineLevel="1" x14ac:dyDescent="0.3">
      <c r="A17" s="19" t="s">
        <v>27</v>
      </c>
      <c r="B17" s="11" t="s">
        <v>28</v>
      </c>
      <c r="C17" s="12">
        <v>5103140</v>
      </c>
      <c r="D17" s="13">
        <f t="shared" si="3"/>
        <v>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outlineLevel="1" x14ac:dyDescent="0.3">
      <c r="A18" s="19" t="s">
        <v>29</v>
      </c>
      <c r="B18" s="11" t="s">
        <v>3</v>
      </c>
      <c r="C18" s="12">
        <v>5103130</v>
      </c>
      <c r="D18" s="13">
        <f t="shared" si="3"/>
        <v>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outlineLevel="1" x14ac:dyDescent="0.3">
      <c r="A19" s="19" t="s">
        <v>30</v>
      </c>
      <c r="B19" s="11" t="s">
        <v>31</v>
      </c>
      <c r="C19" s="12">
        <v>5103120</v>
      </c>
      <c r="D19" s="13">
        <f t="shared" si="3"/>
        <v>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outlineLevel="1" x14ac:dyDescent="0.3">
      <c r="A20" s="19" t="s">
        <v>32</v>
      </c>
      <c r="B20" s="11" t="s">
        <v>33</v>
      </c>
      <c r="C20" s="12">
        <v>5103110</v>
      </c>
      <c r="D20" s="13">
        <f t="shared" si="3"/>
        <v>0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outlineLevel="1" x14ac:dyDescent="0.3">
      <c r="A21" s="19" t="s">
        <v>34</v>
      </c>
      <c r="B21" s="11" t="s">
        <v>18</v>
      </c>
      <c r="C21" s="12">
        <v>5103270</v>
      </c>
      <c r="D21" s="13">
        <f t="shared" si="3"/>
        <v>180000000</v>
      </c>
      <c r="E21" s="13">
        <v>15000000</v>
      </c>
      <c r="F21" s="13">
        <v>15000000</v>
      </c>
      <c r="G21" s="13">
        <v>15000000</v>
      </c>
      <c r="H21" s="13">
        <v>15000000</v>
      </c>
      <c r="I21" s="13">
        <v>15000000</v>
      </c>
      <c r="J21" s="13">
        <v>15000000</v>
      </c>
      <c r="K21" s="13">
        <v>15000000</v>
      </c>
      <c r="L21" s="13">
        <v>15000000</v>
      </c>
      <c r="M21" s="13">
        <v>15000000</v>
      </c>
      <c r="N21" s="13">
        <v>15000000</v>
      </c>
      <c r="O21" s="13">
        <v>15000000</v>
      </c>
      <c r="P21" s="13">
        <v>15000000</v>
      </c>
    </row>
    <row r="22" spans="1:16" outlineLevel="1" x14ac:dyDescent="0.3">
      <c r="A22" s="19" t="s">
        <v>35</v>
      </c>
      <c r="B22" s="11" t="s">
        <v>35</v>
      </c>
      <c r="C22" s="12">
        <v>5103111</v>
      </c>
      <c r="D22" s="13">
        <f t="shared" si="3"/>
        <v>3600000</v>
      </c>
      <c r="E22" s="13">
        <v>300000</v>
      </c>
      <c r="F22" s="13">
        <v>300000</v>
      </c>
      <c r="G22" s="13">
        <v>300000</v>
      </c>
      <c r="H22" s="13">
        <v>300000</v>
      </c>
      <c r="I22" s="13">
        <v>300000</v>
      </c>
      <c r="J22" s="13">
        <v>300000</v>
      </c>
      <c r="K22" s="13">
        <v>300000</v>
      </c>
      <c r="L22" s="13">
        <v>300000</v>
      </c>
      <c r="M22" s="13">
        <v>300000</v>
      </c>
      <c r="N22" s="13">
        <v>300000</v>
      </c>
      <c r="O22" s="13">
        <v>300000</v>
      </c>
      <c r="P22" s="13">
        <v>300000</v>
      </c>
    </row>
    <row r="23" spans="1:16" outlineLevel="1" x14ac:dyDescent="0.3">
      <c r="A23" s="19" t="s">
        <v>36</v>
      </c>
      <c r="B23" s="11" t="s">
        <v>36</v>
      </c>
      <c r="C23" s="12">
        <v>5103131</v>
      </c>
      <c r="D23" s="13">
        <f t="shared" si="3"/>
        <v>11880000</v>
      </c>
      <c r="E23" s="13">
        <v>990000</v>
      </c>
      <c r="F23" s="13">
        <v>990000</v>
      </c>
      <c r="G23" s="13">
        <v>990000</v>
      </c>
      <c r="H23" s="13">
        <v>990000</v>
      </c>
      <c r="I23" s="13">
        <v>990000</v>
      </c>
      <c r="J23" s="13">
        <v>990000</v>
      </c>
      <c r="K23" s="13">
        <v>990000</v>
      </c>
      <c r="L23" s="13">
        <v>990000</v>
      </c>
      <c r="M23" s="13">
        <v>990000</v>
      </c>
      <c r="N23" s="13">
        <v>990000</v>
      </c>
      <c r="O23" s="13">
        <v>990000</v>
      </c>
      <c r="P23" s="13">
        <v>990000</v>
      </c>
    </row>
    <row r="24" spans="1:16" x14ac:dyDescent="0.3">
      <c r="A24" s="15" t="s">
        <v>37</v>
      </c>
      <c r="B24" s="16" t="s">
        <v>3</v>
      </c>
      <c r="C24" s="17"/>
      <c r="D24" s="25">
        <f t="shared" ref="D24:P24" si="4">SUM(D25:D29)</f>
        <v>2400000</v>
      </c>
      <c r="E24" s="25">
        <f t="shared" si="4"/>
        <v>200000</v>
      </c>
      <c r="F24" s="25">
        <f t="shared" si="4"/>
        <v>200000</v>
      </c>
      <c r="G24" s="25">
        <f t="shared" si="4"/>
        <v>200000</v>
      </c>
      <c r="H24" s="25">
        <f t="shared" si="4"/>
        <v>200000</v>
      </c>
      <c r="I24" s="25">
        <f t="shared" si="4"/>
        <v>200000</v>
      </c>
      <c r="J24" s="25">
        <f t="shared" si="4"/>
        <v>200000</v>
      </c>
      <c r="K24" s="25">
        <f t="shared" si="4"/>
        <v>200000</v>
      </c>
      <c r="L24" s="25">
        <f t="shared" si="4"/>
        <v>200000</v>
      </c>
      <c r="M24" s="25">
        <f t="shared" si="4"/>
        <v>200000</v>
      </c>
      <c r="N24" s="25">
        <f t="shared" si="4"/>
        <v>200000</v>
      </c>
      <c r="O24" s="25">
        <f t="shared" si="4"/>
        <v>200000</v>
      </c>
      <c r="P24" s="25">
        <f t="shared" si="4"/>
        <v>200000</v>
      </c>
    </row>
    <row r="25" spans="1:16" outlineLevel="1" x14ac:dyDescent="0.3">
      <c r="A25" s="19" t="s">
        <v>38</v>
      </c>
      <c r="B25" s="11" t="s">
        <v>39</v>
      </c>
      <c r="C25" s="12">
        <v>5104110</v>
      </c>
      <c r="D25" s="13">
        <f>SUM(E25:P25)</f>
        <v>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outlineLevel="1" x14ac:dyDescent="0.3">
      <c r="A26" s="19" t="s">
        <v>40</v>
      </c>
      <c r="B26" s="11" t="s">
        <v>41</v>
      </c>
      <c r="C26" s="12">
        <v>5104120</v>
      </c>
      <c r="D26" s="13">
        <f>SUM(E26:P26)</f>
        <v>1200000</v>
      </c>
      <c r="E26" s="13">
        <v>100000</v>
      </c>
      <c r="F26" s="13">
        <v>100000</v>
      </c>
      <c r="G26" s="13">
        <v>100000</v>
      </c>
      <c r="H26" s="13">
        <v>100000</v>
      </c>
      <c r="I26" s="13">
        <v>100000</v>
      </c>
      <c r="J26" s="13">
        <v>100000</v>
      </c>
      <c r="K26" s="13">
        <v>100000</v>
      </c>
      <c r="L26" s="13">
        <v>100000</v>
      </c>
      <c r="M26" s="13">
        <v>100000</v>
      </c>
      <c r="N26" s="13">
        <v>100000</v>
      </c>
      <c r="O26" s="13">
        <v>100000</v>
      </c>
      <c r="P26" s="13">
        <v>100000</v>
      </c>
    </row>
    <row r="27" spans="1:16" outlineLevel="1" x14ac:dyDescent="0.3">
      <c r="A27" s="19" t="s">
        <v>42</v>
      </c>
      <c r="B27" s="11" t="s">
        <v>43</v>
      </c>
      <c r="C27" s="12">
        <v>5104130</v>
      </c>
      <c r="D27" s="13">
        <f>SUM(E27:P27)</f>
        <v>1200000</v>
      </c>
      <c r="E27" s="13">
        <v>100000</v>
      </c>
      <c r="F27" s="13">
        <v>100000</v>
      </c>
      <c r="G27" s="13">
        <v>100000</v>
      </c>
      <c r="H27" s="13">
        <v>100000</v>
      </c>
      <c r="I27" s="13">
        <v>100000</v>
      </c>
      <c r="J27" s="13">
        <v>100000</v>
      </c>
      <c r="K27" s="13">
        <v>100000</v>
      </c>
      <c r="L27" s="13">
        <v>100000</v>
      </c>
      <c r="M27" s="13">
        <v>100000</v>
      </c>
      <c r="N27" s="13">
        <v>100000</v>
      </c>
      <c r="O27" s="13">
        <v>100000</v>
      </c>
      <c r="P27" s="13">
        <v>100000</v>
      </c>
    </row>
    <row r="28" spans="1:16" outlineLevel="1" x14ac:dyDescent="0.3">
      <c r="A28" s="19" t="s">
        <v>44</v>
      </c>
      <c r="B28" s="11" t="s">
        <v>45</v>
      </c>
      <c r="C28" s="12">
        <v>5104140</v>
      </c>
      <c r="D28" s="13">
        <f>SUM(E28:P28)</f>
        <v>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outlineLevel="1" x14ac:dyDescent="0.3">
      <c r="A29" s="19" t="s">
        <v>46</v>
      </c>
      <c r="B29" s="11" t="s">
        <v>46</v>
      </c>
      <c r="C29" s="12">
        <v>5104150</v>
      </c>
      <c r="D29" s="13">
        <f>SUM(E29:P29)</f>
        <v>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3">
      <c r="A30" s="15" t="s">
        <v>47</v>
      </c>
      <c r="B30" s="16" t="s">
        <v>3</v>
      </c>
      <c r="C30" s="17"/>
      <c r="D30" s="25">
        <f t="shared" ref="D30:P30" si="5">SUM(D31:D37)</f>
        <v>0</v>
      </c>
      <c r="E30" s="25">
        <f t="shared" si="5"/>
        <v>0</v>
      </c>
      <c r="F30" s="25">
        <f t="shared" si="5"/>
        <v>0</v>
      </c>
      <c r="G30" s="25">
        <f t="shared" si="5"/>
        <v>0</v>
      </c>
      <c r="H30" s="25">
        <f t="shared" si="5"/>
        <v>0</v>
      </c>
      <c r="I30" s="25">
        <f t="shared" si="5"/>
        <v>0</v>
      </c>
      <c r="J30" s="25">
        <f t="shared" si="5"/>
        <v>0</v>
      </c>
      <c r="K30" s="25">
        <f t="shared" si="5"/>
        <v>0</v>
      </c>
      <c r="L30" s="25">
        <f t="shared" si="5"/>
        <v>0</v>
      </c>
      <c r="M30" s="25">
        <f t="shared" si="5"/>
        <v>0</v>
      </c>
      <c r="N30" s="25">
        <f t="shared" si="5"/>
        <v>0</v>
      </c>
      <c r="O30" s="25">
        <f t="shared" si="5"/>
        <v>0</v>
      </c>
      <c r="P30" s="25">
        <f t="shared" si="5"/>
        <v>0</v>
      </c>
    </row>
    <row r="31" spans="1:16" outlineLevel="1" x14ac:dyDescent="0.3">
      <c r="A31" s="19" t="s">
        <v>48</v>
      </c>
      <c r="B31" s="11" t="s">
        <v>49</v>
      </c>
      <c r="C31" s="12">
        <v>5105160</v>
      </c>
      <c r="D31" s="13">
        <f t="shared" ref="D31:D37" si="6">SUM(E31:P31)</f>
        <v>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outlineLevel="1" x14ac:dyDescent="0.3">
      <c r="A32" s="19" t="s">
        <v>50</v>
      </c>
      <c r="B32" s="11" t="s">
        <v>49</v>
      </c>
      <c r="C32" s="12">
        <v>5105150</v>
      </c>
      <c r="D32" s="13">
        <f t="shared" si="6"/>
        <v>0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outlineLevel="1" x14ac:dyDescent="0.3">
      <c r="A33" s="19" t="s">
        <v>51</v>
      </c>
      <c r="B33" s="11" t="s">
        <v>52</v>
      </c>
      <c r="C33" s="12">
        <v>5105140</v>
      </c>
      <c r="D33" s="13">
        <f t="shared" si="6"/>
        <v>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outlineLevel="1" x14ac:dyDescent="0.3">
      <c r="A34" s="19" t="s">
        <v>53</v>
      </c>
      <c r="B34" s="11" t="s">
        <v>49</v>
      </c>
      <c r="C34" s="12">
        <v>5105130</v>
      </c>
      <c r="D34" s="13">
        <f t="shared" si="6"/>
        <v>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outlineLevel="1" x14ac:dyDescent="0.3">
      <c r="A35" s="19" t="s">
        <v>54</v>
      </c>
      <c r="B35" s="11" t="s">
        <v>49</v>
      </c>
      <c r="C35" s="12">
        <v>5105120</v>
      </c>
      <c r="D35" s="13">
        <f t="shared" si="6"/>
        <v>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outlineLevel="1" x14ac:dyDescent="0.3">
      <c r="A36" s="19" t="s">
        <v>55</v>
      </c>
      <c r="B36" s="11" t="s">
        <v>49</v>
      </c>
      <c r="C36" s="12">
        <v>5105110</v>
      </c>
      <c r="D36" s="13">
        <f t="shared" si="6"/>
        <v>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outlineLevel="1" x14ac:dyDescent="0.3">
      <c r="A37" s="19" t="s">
        <v>56</v>
      </c>
      <c r="B37" s="11" t="s">
        <v>49</v>
      </c>
      <c r="C37" s="12">
        <v>5105111</v>
      </c>
      <c r="D37" s="13">
        <f t="shared" si="6"/>
        <v>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3">
      <c r="A38" s="15" t="s">
        <v>57</v>
      </c>
      <c r="B38" s="16" t="s">
        <v>3</v>
      </c>
      <c r="C38" s="17"/>
      <c r="D38" s="25">
        <f t="shared" ref="D38:P38" si="7">SUM(D39:D45)</f>
        <v>0</v>
      </c>
      <c r="E38" s="25">
        <f t="shared" si="7"/>
        <v>0</v>
      </c>
      <c r="F38" s="25">
        <f t="shared" si="7"/>
        <v>0</v>
      </c>
      <c r="G38" s="25">
        <f t="shared" si="7"/>
        <v>0</v>
      </c>
      <c r="H38" s="25">
        <f t="shared" si="7"/>
        <v>0</v>
      </c>
      <c r="I38" s="25">
        <f t="shared" si="7"/>
        <v>0</v>
      </c>
      <c r="J38" s="25">
        <f t="shared" si="7"/>
        <v>0</v>
      </c>
      <c r="K38" s="25">
        <f t="shared" si="7"/>
        <v>0</v>
      </c>
      <c r="L38" s="25">
        <f t="shared" si="7"/>
        <v>0</v>
      </c>
      <c r="M38" s="25">
        <f t="shared" si="7"/>
        <v>0</v>
      </c>
      <c r="N38" s="25">
        <f t="shared" si="7"/>
        <v>0</v>
      </c>
      <c r="O38" s="25">
        <f t="shared" si="7"/>
        <v>0</v>
      </c>
      <c r="P38" s="25">
        <f t="shared" si="7"/>
        <v>0</v>
      </c>
    </row>
    <row r="39" spans="1:16" outlineLevel="1" x14ac:dyDescent="0.3">
      <c r="A39" s="19" t="s">
        <v>58</v>
      </c>
      <c r="B39" s="11" t="s">
        <v>59</v>
      </c>
      <c r="C39" s="12">
        <v>5106110</v>
      </c>
      <c r="D39" s="13">
        <f t="shared" ref="D39:D45" si="8">SUM(E39:P39)</f>
        <v>0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 outlineLevel="1" x14ac:dyDescent="0.3">
      <c r="A40" s="19" t="s">
        <v>60</v>
      </c>
      <c r="B40" s="11" t="s">
        <v>59</v>
      </c>
      <c r="C40" s="12">
        <v>5106120</v>
      </c>
      <c r="D40" s="13">
        <f t="shared" si="8"/>
        <v>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outlineLevel="1" x14ac:dyDescent="0.3">
      <c r="A41" s="19" t="s">
        <v>61</v>
      </c>
      <c r="B41" s="11" t="s">
        <v>59</v>
      </c>
      <c r="C41" s="12">
        <v>5106130</v>
      </c>
      <c r="D41" s="13">
        <f t="shared" si="8"/>
        <v>0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outlineLevel="1" x14ac:dyDescent="0.3">
      <c r="A42" s="19" t="s">
        <v>62</v>
      </c>
      <c r="B42" s="11" t="s">
        <v>3</v>
      </c>
      <c r="C42" s="12">
        <v>5106140</v>
      </c>
      <c r="D42" s="13">
        <f t="shared" si="8"/>
        <v>0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outlineLevel="1" x14ac:dyDescent="0.3">
      <c r="A43" s="19" t="s">
        <v>63</v>
      </c>
      <c r="B43" s="11" t="s">
        <v>59</v>
      </c>
      <c r="C43" s="12">
        <v>5106150</v>
      </c>
      <c r="D43" s="13">
        <f t="shared" si="8"/>
        <v>0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outlineLevel="1" x14ac:dyDescent="0.3">
      <c r="A44" s="19" t="s">
        <v>64</v>
      </c>
      <c r="B44" s="11" t="s">
        <v>3</v>
      </c>
      <c r="C44" s="12">
        <v>5106160</v>
      </c>
      <c r="D44" s="13">
        <f t="shared" si="8"/>
        <v>0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outlineLevel="1" x14ac:dyDescent="0.3">
      <c r="A45" s="19" t="s">
        <v>65</v>
      </c>
      <c r="B45" s="11" t="s">
        <v>59</v>
      </c>
      <c r="C45" s="12">
        <v>5106141</v>
      </c>
      <c r="D45" s="13">
        <f t="shared" si="8"/>
        <v>0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x14ac:dyDescent="0.3">
      <c r="A46" s="15" t="s">
        <v>66</v>
      </c>
      <c r="B46" s="16" t="s">
        <v>3</v>
      </c>
      <c r="C46" s="17"/>
      <c r="D46" s="25">
        <f t="shared" ref="D46:P46" si="9">SUM(D47:D56)</f>
        <v>0</v>
      </c>
      <c r="E46" s="25">
        <f t="shared" si="9"/>
        <v>0</v>
      </c>
      <c r="F46" s="25">
        <f t="shared" si="9"/>
        <v>0</v>
      </c>
      <c r="G46" s="25">
        <f t="shared" si="9"/>
        <v>0</v>
      </c>
      <c r="H46" s="25">
        <f t="shared" si="9"/>
        <v>0</v>
      </c>
      <c r="I46" s="25">
        <f t="shared" si="9"/>
        <v>0</v>
      </c>
      <c r="J46" s="25">
        <f t="shared" si="9"/>
        <v>0</v>
      </c>
      <c r="K46" s="25">
        <f t="shared" si="9"/>
        <v>0</v>
      </c>
      <c r="L46" s="25">
        <f t="shared" si="9"/>
        <v>0</v>
      </c>
      <c r="M46" s="25">
        <f t="shared" si="9"/>
        <v>0</v>
      </c>
      <c r="N46" s="25">
        <f t="shared" si="9"/>
        <v>0</v>
      </c>
      <c r="O46" s="25">
        <f t="shared" si="9"/>
        <v>0</v>
      </c>
      <c r="P46" s="25">
        <f t="shared" si="9"/>
        <v>0</v>
      </c>
    </row>
    <row r="47" spans="1:16" outlineLevel="1" x14ac:dyDescent="0.3">
      <c r="A47" s="19" t="s">
        <v>67</v>
      </c>
      <c r="B47" s="11" t="s">
        <v>68</v>
      </c>
      <c r="C47" s="12">
        <v>5107110</v>
      </c>
      <c r="D47" s="13">
        <f t="shared" ref="D47:D56" si="10">SUM(E47:P47)</f>
        <v>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outlineLevel="1" x14ac:dyDescent="0.3">
      <c r="A48" s="19" t="s">
        <v>69</v>
      </c>
      <c r="B48" s="11" t="s">
        <v>68</v>
      </c>
      <c r="C48" s="12">
        <v>5107130</v>
      </c>
      <c r="D48" s="13">
        <f t="shared" si="10"/>
        <v>0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outlineLevel="1" x14ac:dyDescent="0.3">
      <c r="A49" s="22" t="s">
        <v>70</v>
      </c>
      <c r="B49" s="11" t="s">
        <v>68</v>
      </c>
      <c r="C49" s="12">
        <v>5107120</v>
      </c>
      <c r="D49" s="13">
        <f t="shared" si="10"/>
        <v>0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outlineLevel="1" x14ac:dyDescent="0.3">
      <c r="A50" s="19" t="s">
        <v>71</v>
      </c>
      <c r="B50" s="11" t="s">
        <v>68</v>
      </c>
      <c r="C50" s="12">
        <v>5107140</v>
      </c>
      <c r="D50" s="13">
        <f t="shared" si="10"/>
        <v>0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outlineLevel="1" x14ac:dyDescent="0.3">
      <c r="A51" s="19" t="s">
        <v>72</v>
      </c>
      <c r="B51" s="11" t="s">
        <v>68</v>
      </c>
      <c r="C51" s="12">
        <v>5107150</v>
      </c>
      <c r="D51" s="13">
        <f t="shared" si="10"/>
        <v>0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outlineLevel="1" x14ac:dyDescent="0.3">
      <c r="A52" s="19" t="s">
        <v>73</v>
      </c>
      <c r="B52" s="11" t="s">
        <v>68</v>
      </c>
      <c r="C52" s="12">
        <v>5107160</v>
      </c>
      <c r="D52" s="13">
        <f t="shared" si="10"/>
        <v>0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outlineLevel="1" x14ac:dyDescent="0.3">
      <c r="A53" s="19" t="s">
        <v>74</v>
      </c>
      <c r="B53" s="11" t="s">
        <v>68</v>
      </c>
      <c r="C53" s="12">
        <v>5107170</v>
      </c>
      <c r="D53" s="13">
        <f t="shared" si="10"/>
        <v>0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 outlineLevel="1" x14ac:dyDescent="0.3">
      <c r="A54" s="19" t="s">
        <v>75</v>
      </c>
      <c r="B54" s="11" t="s">
        <v>68</v>
      </c>
      <c r="C54" s="12">
        <v>5107180</v>
      </c>
      <c r="D54" s="13">
        <f t="shared" si="10"/>
        <v>0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outlineLevel="1" x14ac:dyDescent="0.3">
      <c r="A55" s="40" t="s">
        <v>76</v>
      </c>
      <c r="B55" s="11" t="s">
        <v>77</v>
      </c>
      <c r="C55" s="12">
        <v>5107190</v>
      </c>
      <c r="D55" s="13">
        <f t="shared" si="10"/>
        <v>0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outlineLevel="1" x14ac:dyDescent="0.3">
      <c r="A56" s="19" t="s">
        <v>78</v>
      </c>
      <c r="B56" s="11" t="s">
        <v>79</v>
      </c>
      <c r="C56" s="12">
        <v>5107210</v>
      </c>
      <c r="D56" s="13">
        <f t="shared" si="10"/>
        <v>0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x14ac:dyDescent="0.3">
      <c r="A57" s="15" t="s">
        <v>80</v>
      </c>
      <c r="B57" s="16" t="s">
        <v>3</v>
      </c>
      <c r="C57" s="17"/>
      <c r="D57" s="25">
        <f t="shared" ref="D57:P57" si="11">SUM(D58:D65)</f>
        <v>0</v>
      </c>
      <c r="E57" s="25">
        <f t="shared" si="11"/>
        <v>0</v>
      </c>
      <c r="F57" s="25">
        <f t="shared" si="11"/>
        <v>0</v>
      </c>
      <c r="G57" s="25">
        <f t="shared" si="11"/>
        <v>0</v>
      </c>
      <c r="H57" s="25">
        <f t="shared" si="11"/>
        <v>0</v>
      </c>
      <c r="I57" s="25">
        <f t="shared" si="11"/>
        <v>0</v>
      </c>
      <c r="J57" s="25">
        <f t="shared" si="11"/>
        <v>0</v>
      </c>
      <c r="K57" s="25">
        <f t="shared" si="11"/>
        <v>0</v>
      </c>
      <c r="L57" s="25">
        <f t="shared" si="11"/>
        <v>0</v>
      </c>
      <c r="M57" s="25">
        <f t="shared" si="11"/>
        <v>0</v>
      </c>
      <c r="N57" s="25">
        <f t="shared" si="11"/>
        <v>0</v>
      </c>
      <c r="O57" s="25">
        <f t="shared" si="11"/>
        <v>0</v>
      </c>
      <c r="P57" s="25">
        <f t="shared" si="11"/>
        <v>0</v>
      </c>
    </row>
    <row r="58" spans="1:16" outlineLevel="1" x14ac:dyDescent="0.3">
      <c r="A58" s="19" t="s">
        <v>81</v>
      </c>
      <c r="B58" s="11" t="s">
        <v>82</v>
      </c>
      <c r="C58" s="12">
        <v>5108110</v>
      </c>
      <c r="D58" s="13">
        <f t="shared" ref="D58:D65" si="12">SUM(E58:P58)</f>
        <v>0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outlineLevel="1" x14ac:dyDescent="0.3">
      <c r="A59" s="19" t="s">
        <v>83</v>
      </c>
      <c r="B59" s="11" t="s">
        <v>82</v>
      </c>
      <c r="C59" s="12">
        <v>5108120</v>
      </c>
      <c r="D59" s="13">
        <f t="shared" si="12"/>
        <v>0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 outlineLevel="1" x14ac:dyDescent="0.3">
      <c r="A60" s="19" t="s">
        <v>84</v>
      </c>
      <c r="B60" s="11" t="s">
        <v>82</v>
      </c>
      <c r="C60" s="12">
        <v>5108130</v>
      </c>
      <c r="D60" s="13">
        <f t="shared" si="12"/>
        <v>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 outlineLevel="1" x14ac:dyDescent="0.3">
      <c r="A61" s="19" t="s">
        <v>85</v>
      </c>
      <c r="B61" s="11" t="s">
        <v>82</v>
      </c>
      <c r="C61" s="12">
        <v>5108140</v>
      </c>
      <c r="D61" s="13">
        <f t="shared" si="12"/>
        <v>0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 outlineLevel="1" x14ac:dyDescent="0.3">
      <c r="A62" s="19" t="s">
        <v>86</v>
      </c>
      <c r="B62" s="11" t="s">
        <v>87</v>
      </c>
      <c r="C62" s="12">
        <v>5108150</v>
      </c>
      <c r="D62" s="13">
        <f t="shared" si="12"/>
        <v>0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outlineLevel="1" x14ac:dyDescent="0.3">
      <c r="A63" s="19" t="s">
        <v>88</v>
      </c>
      <c r="B63" s="11" t="s">
        <v>82</v>
      </c>
      <c r="C63" s="12">
        <v>5108160</v>
      </c>
      <c r="D63" s="13">
        <f t="shared" si="12"/>
        <v>0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 outlineLevel="1" x14ac:dyDescent="0.3">
      <c r="A64" s="19" t="s">
        <v>89</v>
      </c>
      <c r="B64" s="11" t="s">
        <v>89</v>
      </c>
      <c r="C64" s="12">
        <v>5108161</v>
      </c>
      <c r="D64" s="13">
        <f t="shared" si="12"/>
        <v>0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1:16" outlineLevel="1" x14ac:dyDescent="0.3">
      <c r="A65" s="19" t="s">
        <v>90</v>
      </c>
      <c r="B65" s="11" t="s">
        <v>90</v>
      </c>
      <c r="C65" s="12">
        <v>5108162</v>
      </c>
      <c r="D65" s="13">
        <f t="shared" si="12"/>
        <v>0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 x14ac:dyDescent="0.3">
      <c r="A66" s="15" t="s">
        <v>91</v>
      </c>
      <c r="B66" s="16" t="s">
        <v>3</v>
      </c>
      <c r="C66" s="17"/>
      <c r="D66" s="25">
        <f t="shared" ref="D66" si="13">SUM(D67:D77)</f>
        <v>2963039892</v>
      </c>
      <c r="E66" s="26">
        <f>SUM(E67:E77)</f>
        <v>246919991</v>
      </c>
      <c r="F66" s="26">
        <f t="shared" ref="F66:P66" si="14">SUM(F67:F77)</f>
        <v>246919991</v>
      </c>
      <c r="G66" s="26">
        <f t="shared" si="14"/>
        <v>246919991</v>
      </c>
      <c r="H66" s="26">
        <f t="shared" si="14"/>
        <v>246919991</v>
      </c>
      <c r="I66" s="26">
        <f t="shared" si="14"/>
        <v>246919991</v>
      </c>
      <c r="J66" s="26">
        <f t="shared" si="14"/>
        <v>246919991</v>
      </c>
      <c r="K66" s="26">
        <f t="shared" si="14"/>
        <v>246919991</v>
      </c>
      <c r="L66" s="26">
        <f t="shared" si="14"/>
        <v>246919991</v>
      </c>
      <c r="M66" s="26">
        <f t="shared" si="14"/>
        <v>246919991</v>
      </c>
      <c r="N66" s="26">
        <f t="shared" si="14"/>
        <v>246919991</v>
      </c>
      <c r="O66" s="26">
        <f t="shared" si="14"/>
        <v>246919991</v>
      </c>
      <c r="P66" s="26">
        <f t="shared" si="14"/>
        <v>246919991</v>
      </c>
    </row>
    <row r="67" spans="1:16" outlineLevel="1" x14ac:dyDescent="0.3">
      <c r="A67" s="19" t="s">
        <v>92</v>
      </c>
      <c r="B67" s="11" t="s">
        <v>93</v>
      </c>
      <c r="C67" s="12">
        <v>5109110</v>
      </c>
      <c r="D67" s="13">
        <f t="shared" ref="D67:D77" si="15">SUM(E67:P67)</f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</row>
    <row r="68" spans="1:16" outlineLevel="1" x14ac:dyDescent="0.3">
      <c r="A68" s="19" t="s">
        <v>94</v>
      </c>
      <c r="B68" s="11" t="s">
        <v>93</v>
      </c>
      <c r="C68" s="12">
        <v>5109120</v>
      </c>
      <c r="D68" s="13">
        <f t="shared" si="15"/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</row>
    <row r="69" spans="1:16" outlineLevel="1" x14ac:dyDescent="0.3">
      <c r="A69" s="19" t="s">
        <v>95</v>
      </c>
      <c r="B69" s="11" t="s">
        <v>93</v>
      </c>
      <c r="C69" s="12">
        <v>5109130</v>
      </c>
      <c r="D69" s="13">
        <f t="shared" si="15"/>
        <v>2918801700</v>
      </c>
      <c r="E69" s="14">
        <v>243233475</v>
      </c>
      <c r="F69" s="14">
        <v>243233475</v>
      </c>
      <c r="G69" s="14">
        <v>243233475</v>
      </c>
      <c r="H69" s="14">
        <v>243233475</v>
      </c>
      <c r="I69" s="14">
        <v>243233475</v>
      </c>
      <c r="J69" s="14">
        <v>243233475</v>
      </c>
      <c r="K69" s="14">
        <v>243233475</v>
      </c>
      <c r="L69" s="14">
        <v>243233475</v>
      </c>
      <c r="M69" s="14">
        <v>243233475</v>
      </c>
      <c r="N69" s="14">
        <v>243233475</v>
      </c>
      <c r="O69" s="14">
        <v>243233475</v>
      </c>
      <c r="P69" s="14">
        <v>243233475</v>
      </c>
    </row>
    <row r="70" spans="1:16" outlineLevel="1" x14ac:dyDescent="0.3">
      <c r="A70" s="22" t="s">
        <v>96</v>
      </c>
      <c r="B70" s="11" t="s">
        <v>93</v>
      </c>
      <c r="C70" s="12">
        <v>5109140</v>
      </c>
      <c r="D70" s="13">
        <f t="shared" si="15"/>
        <v>33979920</v>
      </c>
      <c r="E70" s="14">
        <v>2831660</v>
      </c>
      <c r="F70" s="14">
        <v>2831660</v>
      </c>
      <c r="G70" s="14">
        <v>2831660</v>
      </c>
      <c r="H70" s="14">
        <v>2831660</v>
      </c>
      <c r="I70" s="14">
        <v>2831660</v>
      </c>
      <c r="J70" s="14">
        <v>2831660</v>
      </c>
      <c r="K70" s="14">
        <v>2831660</v>
      </c>
      <c r="L70" s="14">
        <v>2831660</v>
      </c>
      <c r="M70" s="14">
        <v>2831660</v>
      </c>
      <c r="N70" s="14">
        <v>2831660</v>
      </c>
      <c r="O70" s="14">
        <v>2831660</v>
      </c>
      <c r="P70" s="14">
        <v>2831660</v>
      </c>
    </row>
    <row r="71" spans="1:16" outlineLevel="1" x14ac:dyDescent="0.3">
      <c r="A71" s="19" t="s">
        <v>97</v>
      </c>
      <c r="B71" s="11" t="s">
        <v>93</v>
      </c>
      <c r="C71" s="12">
        <v>5109150</v>
      </c>
      <c r="D71" s="13">
        <f t="shared" si="15"/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</row>
    <row r="72" spans="1:16" outlineLevel="1" x14ac:dyDescent="0.3">
      <c r="A72" s="19" t="s">
        <v>98</v>
      </c>
      <c r="B72" s="11" t="s">
        <v>93</v>
      </c>
      <c r="C72" s="12">
        <v>5109160</v>
      </c>
      <c r="D72" s="13">
        <f t="shared" si="15"/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</row>
    <row r="73" spans="1:16" outlineLevel="1" x14ac:dyDescent="0.3">
      <c r="A73" s="19" t="s">
        <v>99</v>
      </c>
      <c r="B73" s="11" t="s">
        <v>93</v>
      </c>
      <c r="C73" s="12">
        <v>5109170</v>
      </c>
      <c r="D73" s="13">
        <f t="shared" si="15"/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</row>
    <row r="74" spans="1:16" outlineLevel="1" x14ac:dyDescent="0.3">
      <c r="A74" s="19" t="s">
        <v>100</v>
      </c>
      <c r="B74" s="11" t="s">
        <v>93</v>
      </c>
      <c r="C74" s="12">
        <v>5109180</v>
      </c>
      <c r="D74" s="13">
        <f t="shared" si="15"/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</row>
    <row r="75" spans="1:16" outlineLevel="1" x14ac:dyDescent="0.3">
      <c r="A75" s="19" t="s">
        <v>101</v>
      </c>
      <c r="B75" s="11" t="s">
        <v>93</v>
      </c>
      <c r="C75" s="12">
        <v>5109190</v>
      </c>
      <c r="D75" s="13">
        <f t="shared" si="15"/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</row>
    <row r="76" spans="1:16" outlineLevel="1" x14ac:dyDescent="0.3">
      <c r="A76" s="19" t="s">
        <v>102</v>
      </c>
      <c r="B76" s="11" t="s">
        <v>93</v>
      </c>
      <c r="C76" s="12">
        <v>5109210</v>
      </c>
      <c r="D76" s="13">
        <f t="shared" si="15"/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</row>
    <row r="77" spans="1:16" outlineLevel="1" x14ac:dyDescent="0.3">
      <c r="A77" s="19" t="s">
        <v>103</v>
      </c>
      <c r="B77" s="11" t="s">
        <v>93</v>
      </c>
      <c r="C77" s="12">
        <v>5109220</v>
      </c>
      <c r="D77" s="13">
        <f t="shared" si="15"/>
        <v>10258272</v>
      </c>
      <c r="E77" s="14">
        <v>854856</v>
      </c>
      <c r="F77" s="14">
        <v>854856</v>
      </c>
      <c r="G77" s="14">
        <v>854856</v>
      </c>
      <c r="H77" s="14">
        <v>854856</v>
      </c>
      <c r="I77" s="14">
        <v>854856</v>
      </c>
      <c r="J77" s="14">
        <v>854856</v>
      </c>
      <c r="K77" s="14">
        <v>854856</v>
      </c>
      <c r="L77" s="14">
        <v>854856</v>
      </c>
      <c r="M77" s="14">
        <v>854856</v>
      </c>
      <c r="N77" s="14">
        <v>854856</v>
      </c>
      <c r="O77" s="14">
        <v>854856</v>
      </c>
      <c r="P77" s="14">
        <v>854856</v>
      </c>
    </row>
    <row r="78" spans="1:16" x14ac:dyDescent="0.3">
      <c r="A78" s="15" t="s">
        <v>104</v>
      </c>
      <c r="B78" s="16" t="s">
        <v>3</v>
      </c>
      <c r="C78" s="17"/>
      <c r="D78" s="25">
        <f t="shared" ref="D78" si="16">SUM(D79:D84)</f>
        <v>257100000</v>
      </c>
      <c r="E78" s="26">
        <f>SUM(E79:E84)</f>
        <v>15200000</v>
      </c>
      <c r="F78" s="26">
        <f t="shared" ref="F78:P78" si="17">SUM(F79:F84)</f>
        <v>15200000</v>
      </c>
      <c r="G78" s="26">
        <f t="shared" si="17"/>
        <v>115200000</v>
      </c>
      <c r="H78" s="26">
        <f t="shared" si="17"/>
        <v>18500000</v>
      </c>
      <c r="I78" s="26">
        <f t="shared" si="17"/>
        <v>18500000</v>
      </c>
      <c r="J78" s="26">
        <f t="shared" si="17"/>
        <v>18500000</v>
      </c>
      <c r="K78" s="26">
        <f t="shared" si="17"/>
        <v>8166667</v>
      </c>
      <c r="L78" s="26">
        <f t="shared" si="17"/>
        <v>8166667</v>
      </c>
      <c r="M78" s="26">
        <f t="shared" si="17"/>
        <v>8166666</v>
      </c>
      <c r="N78" s="26">
        <f t="shared" si="17"/>
        <v>10500000</v>
      </c>
      <c r="O78" s="26">
        <f t="shared" si="17"/>
        <v>10500000</v>
      </c>
      <c r="P78" s="26">
        <f t="shared" si="17"/>
        <v>10500000</v>
      </c>
    </row>
    <row r="79" spans="1:16" outlineLevel="1" x14ac:dyDescent="0.3">
      <c r="A79" s="19" t="s">
        <v>105</v>
      </c>
      <c r="B79" s="11" t="s">
        <v>106</v>
      </c>
      <c r="C79" s="12">
        <v>5110110</v>
      </c>
      <c r="D79" s="13">
        <f t="shared" ref="D79:D84" si="18">SUM(E79:P79)</f>
        <v>100000000</v>
      </c>
      <c r="E79" s="13"/>
      <c r="F79" s="13"/>
      <c r="G79" s="13">
        <v>100000000</v>
      </c>
      <c r="H79" s="13"/>
      <c r="I79" s="13"/>
      <c r="J79" s="13"/>
      <c r="K79" s="13"/>
      <c r="L79" s="13"/>
      <c r="M79" s="13"/>
      <c r="N79" s="13"/>
      <c r="O79" s="13"/>
      <c r="P79" s="13"/>
    </row>
    <row r="80" spans="1:16" outlineLevel="1" x14ac:dyDescent="0.3">
      <c r="A80" s="19" t="s">
        <v>107</v>
      </c>
      <c r="B80" s="11" t="s">
        <v>106</v>
      </c>
      <c r="C80" s="12">
        <v>5110120</v>
      </c>
      <c r="D80" s="13">
        <f t="shared" si="18"/>
        <v>0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spans="1:16" outlineLevel="1" x14ac:dyDescent="0.3">
      <c r="A81" s="19" t="s">
        <v>108</v>
      </c>
      <c r="B81" s="11" t="s">
        <v>106</v>
      </c>
      <c r="C81" s="12">
        <v>5110130</v>
      </c>
      <c r="D81" s="13">
        <f t="shared" si="18"/>
        <v>145100000</v>
      </c>
      <c r="E81" s="13">
        <v>14200000</v>
      </c>
      <c r="F81" s="13">
        <v>14200000</v>
      </c>
      <c r="G81" s="13">
        <v>14200000</v>
      </c>
      <c r="H81" s="13">
        <v>17500000</v>
      </c>
      <c r="I81" s="13">
        <v>17500000</v>
      </c>
      <c r="J81" s="13">
        <v>17500000</v>
      </c>
      <c r="K81" s="13">
        <v>7166667</v>
      </c>
      <c r="L81" s="13">
        <v>7166667</v>
      </c>
      <c r="M81" s="13">
        <v>7166666</v>
      </c>
      <c r="N81" s="13">
        <v>9500000</v>
      </c>
      <c r="O81" s="13">
        <v>9500000</v>
      </c>
      <c r="P81" s="13">
        <v>9500000</v>
      </c>
    </row>
    <row r="82" spans="1:16" outlineLevel="1" x14ac:dyDescent="0.3">
      <c r="A82" s="19" t="s">
        <v>109</v>
      </c>
      <c r="B82" s="11" t="s">
        <v>106</v>
      </c>
      <c r="C82" s="12">
        <v>5110140</v>
      </c>
      <c r="D82" s="13">
        <f t="shared" si="18"/>
        <v>12000000</v>
      </c>
      <c r="E82" s="13">
        <v>1000000</v>
      </c>
      <c r="F82" s="13">
        <v>1000000</v>
      </c>
      <c r="G82" s="13">
        <v>1000000</v>
      </c>
      <c r="H82" s="13">
        <v>1000000</v>
      </c>
      <c r="I82" s="13">
        <v>1000000</v>
      </c>
      <c r="J82" s="13">
        <v>1000000</v>
      </c>
      <c r="K82" s="13">
        <v>1000000</v>
      </c>
      <c r="L82" s="13">
        <v>1000000</v>
      </c>
      <c r="M82" s="13">
        <v>1000000</v>
      </c>
      <c r="N82" s="13">
        <v>1000000</v>
      </c>
      <c r="O82" s="13">
        <v>1000000</v>
      </c>
      <c r="P82" s="13">
        <v>1000000</v>
      </c>
    </row>
    <row r="83" spans="1:16" outlineLevel="1" x14ac:dyDescent="0.3">
      <c r="A83" s="19" t="s">
        <v>110</v>
      </c>
      <c r="B83" s="11" t="s">
        <v>111</v>
      </c>
      <c r="C83" s="12">
        <v>5110150</v>
      </c>
      <c r="D83" s="13">
        <f t="shared" si="18"/>
        <v>0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1:16" outlineLevel="1" x14ac:dyDescent="0.3">
      <c r="A84" s="19" t="s">
        <v>112</v>
      </c>
      <c r="B84" s="11" t="s">
        <v>111</v>
      </c>
      <c r="C84" s="12" t="s">
        <v>113</v>
      </c>
      <c r="D84" s="13">
        <f t="shared" si="18"/>
        <v>0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spans="1:16" x14ac:dyDescent="0.3">
      <c r="A85" s="15" t="s">
        <v>114</v>
      </c>
      <c r="B85" s="16" t="s">
        <v>3</v>
      </c>
      <c r="C85" s="17"/>
      <c r="D85" s="25">
        <f t="shared" ref="D85:P85" si="19">SUM(D86:D92)</f>
        <v>0</v>
      </c>
      <c r="E85" s="25">
        <f t="shared" si="19"/>
        <v>0</v>
      </c>
      <c r="F85" s="25">
        <f t="shared" si="19"/>
        <v>0</v>
      </c>
      <c r="G85" s="25">
        <f t="shared" si="19"/>
        <v>0</v>
      </c>
      <c r="H85" s="25">
        <f t="shared" si="19"/>
        <v>0</v>
      </c>
      <c r="I85" s="25">
        <f t="shared" si="19"/>
        <v>0</v>
      </c>
      <c r="J85" s="25">
        <f t="shared" si="19"/>
        <v>0</v>
      </c>
      <c r="K85" s="25">
        <f t="shared" si="19"/>
        <v>0</v>
      </c>
      <c r="L85" s="25">
        <f t="shared" si="19"/>
        <v>0</v>
      </c>
      <c r="M85" s="25">
        <f t="shared" si="19"/>
        <v>0</v>
      </c>
      <c r="N85" s="25">
        <f t="shared" si="19"/>
        <v>0</v>
      </c>
      <c r="O85" s="25">
        <f t="shared" si="19"/>
        <v>0</v>
      </c>
      <c r="P85" s="25">
        <f t="shared" si="19"/>
        <v>0</v>
      </c>
    </row>
    <row r="86" spans="1:16" outlineLevel="1" x14ac:dyDescent="0.3">
      <c r="A86" s="19" t="s">
        <v>115</v>
      </c>
      <c r="B86" s="11" t="s">
        <v>116</v>
      </c>
      <c r="C86" s="12">
        <v>5111110</v>
      </c>
      <c r="D86" s="13">
        <f t="shared" ref="D86:D92" si="20">SUM(E86:P86)</f>
        <v>0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outlineLevel="1" x14ac:dyDescent="0.3">
      <c r="A87" s="19" t="s">
        <v>117</v>
      </c>
      <c r="B87" s="11" t="s">
        <v>116</v>
      </c>
      <c r="C87" s="12">
        <v>5111120</v>
      </c>
      <c r="D87" s="13">
        <f t="shared" si="20"/>
        <v>0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spans="1:16" outlineLevel="1" x14ac:dyDescent="0.3">
      <c r="A88" s="19" t="s">
        <v>118</v>
      </c>
      <c r="B88" s="11" t="s">
        <v>116</v>
      </c>
      <c r="C88" s="12">
        <v>5111130</v>
      </c>
      <c r="D88" s="13">
        <f t="shared" si="20"/>
        <v>0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1:16" outlineLevel="1" x14ac:dyDescent="0.3">
      <c r="A89" s="19" t="s">
        <v>119</v>
      </c>
      <c r="B89" s="11" t="s">
        <v>116</v>
      </c>
      <c r="C89" s="12">
        <v>5111140</v>
      </c>
      <c r="D89" s="13">
        <f t="shared" si="20"/>
        <v>0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outlineLevel="1" x14ac:dyDescent="0.3">
      <c r="A90" s="19" t="s">
        <v>120</v>
      </c>
      <c r="B90" s="11" t="s">
        <v>116</v>
      </c>
      <c r="C90" s="12">
        <v>5111150</v>
      </c>
      <c r="D90" s="13">
        <f t="shared" si="20"/>
        <v>0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pans="1:16" outlineLevel="1" x14ac:dyDescent="0.3">
      <c r="A91" s="19" t="s">
        <v>121</v>
      </c>
      <c r="B91" s="11" t="s">
        <v>116</v>
      </c>
      <c r="C91" s="12">
        <v>5111160</v>
      </c>
      <c r="D91" s="13">
        <f t="shared" si="20"/>
        <v>0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spans="1:16" outlineLevel="1" x14ac:dyDescent="0.3">
      <c r="A92" s="19" t="s">
        <v>122</v>
      </c>
      <c r="B92" s="11" t="s">
        <v>116</v>
      </c>
      <c r="C92" s="12">
        <v>5111141</v>
      </c>
      <c r="D92" s="13">
        <f t="shared" si="20"/>
        <v>0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pans="1:16" x14ac:dyDescent="0.3">
      <c r="A93" s="15" t="s">
        <v>123</v>
      </c>
      <c r="B93" s="16" t="s">
        <v>3</v>
      </c>
      <c r="C93" s="17"/>
      <c r="D93" s="25">
        <f t="shared" ref="D93:P93" si="21">SUM(D94:D95)</f>
        <v>0</v>
      </c>
      <c r="E93" s="25">
        <f t="shared" si="21"/>
        <v>0</v>
      </c>
      <c r="F93" s="25">
        <f t="shared" si="21"/>
        <v>0</v>
      </c>
      <c r="G93" s="25">
        <f t="shared" si="21"/>
        <v>0</v>
      </c>
      <c r="H93" s="25">
        <f t="shared" si="21"/>
        <v>0</v>
      </c>
      <c r="I93" s="25">
        <f t="shared" si="21"/>
        <v>0</v>
      </c>
      <c r="J93" s="25">
        <f t="shared" si="21"/>
        <v>0</v>
      </c>
      <c r="K93" s="25">
        <f t="shared" si="21"/>
        <v>0</v>
      </c>
      <c r="L93" s="25">
        <f t="shared" si="21"/>
        <v>0</v>
      </c>
      <c r="M93" s="25">
        <f t="shared" si="21"/>
        <v>0</v>
      </c>
      <c r="N93" s="25">
        <f t="shared" si="21"/>
        <v>0</v>
      </c>
      <c r="O93" s="25">
        <f t="shared" si="21"/>
        <v>0</v>
      </c>
      <c r="P93" s="25">
        <f t="shared" si="21"/>
        <v>0</v>
      </c>
    </row>
    <row r="94" spans="1:16" outlineLevel="1" x14ac:dyDescent="0.3">
      <c r="A94" s="19" t="s">
        <v>124</v>
      </c>
      <c r="B94" s="11" t="s">
        <v>125</v>
      </c>
      <c r="C94" s="12">
        <v>5112110</v>
      </c>
      <c r="D94" s="13">
        <f>SUM(E94:P94)</f>
        <v>0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spans="1:16" outlineLevel="1" x14ac:dyDescent="0.3">
      <c r="A95" s="19" t="s">
        <v>126</v>
      </c>
      <c r="B95" s="11" t="s">
        <v>126</v>
      </c>
      <c r="C95" s="12">
        <v>5112120</v>
      </c>
      <c r="D95" s="13">
        <f>SUM(E95:P95)</f>
        <v>0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1:16" x14ac:dyDescent="0.3">
      <c r="A96" s="15" t="s">
        <v>127</v>
      </c>
      <c r="B96" s="16" t="s">
        <v>3</v>
      </c>
      <c r="C96" s="17"/>
      <c r="D96" s="25">
        <f t="shared" ref="D96:P96" si="22">SUM(D97:D105)</f>
        <v>0</v>
      </c>
      <c r="E96" s="25">
        <f t="shared" si="22"/>
        <v>0</v>
      </c>
      <c r="F96" s="25">
        <f t="shared" si="22"/>
        <v>0</v>
      </c>
      <c r="G96" s="25">
        <f t="shared" si="22"/>
        <v>0</v>
      </c>
      <c r="H96" s="25">
        <f t="shared" si="22"/>
        <v>0</v>
      </c>
      <c r="I96" s="25">
        <f t="shared" si="22"/>
        <v>0</v>
      </c>
      <c r="J96" s="25">
        <f t="shared" si="22"/>
        <v>0</v>
      </c>
      <c r="K96" s="25">
        <f t="shared" si="22"/>
        <v>0</v>
      </c>
      <c r="L96" s="25">
        <f t="shared" si="22"/>
        <v>0</v>
      </c>
      <c r="M96" s="25">
        <f t="shared" si="22"/>
        <v>0</v>
      </c>
      <c r="N96" s="25">
        <f t="shared" si="22"/>
        <v>0</v>
      </c>
      <c r="O96" s="25">
        <f t="shared" si="22"/>
        <v>0</v>
      </c>
      <c r="P96" s="25">
        <f t="shared" si="22"/>
        <v>0</v>
      </c>
    </row>
    <row r="97" spans="1:16" outlineLevel="1" x14ac:dyDescent="0.3">
      <c r="A97" s="19" t="s">
        <v>128</v>
      </c>
      <c r="B97" s="11" t="s">
        <v>129</v>
      </c>
      <c r="C97" s="12">
        <v>5113110</v>
      </c>
      <c r="D97" s="13">
        <f t="shared" ref="D97:D105" si="23">SUM(E97:P97)</f>
        <v>0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spans="1:16" outlineLevel="1" x14ac:dyDescent="0.3">
      <c r="A98" s="19" t="s">
        <v>130</v>
      </c>
      <c r="B98" s="11" t="s">
        <v>131</v>
      </c>
      <c r="C98" s="12">
        <v>5113120</v>
      </c>
      <c r="D98" s="13">
        <f t="shared" si="23"/>
        <v>0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spans="1:16" outlineLevel="1" x14ac:dyDescent="0.3">
      <c r="A99" s="19" t="s">
        <v>132</v>
      </c>
      <c r="B99" s="11" t="s">
        <v>133</v>
      </c>
      <c r="C99" s="12">
        <v>5113130</v>
      </c>
      <c r="D99" s="13">
        <f t="shared" si="23"/>
        <v>0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spans="1:16" outlineLevel="1" x14ac:dyDescent="0.3">
      <c r="A100" s="19" t="s">
        <v>134</v>
      </c>
      <c r="B100" s="11" t="s">
        <v>133</v>
      </c>
      <c r="C100" s="12">
        <v>5113140</v>
      </c>
      <c r="D100" s="13">
        <f t="shared" si="23"/>
        <v>0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spans="1:16" outlineLevel="1" x14ac:dyDescent="0.3">
      <c r="A101" s="19" t="s">
        <v>135</v>
      </c>
      <c r="B101" s="11" t="s">
        <v>136</v>
      </c>
      <c r="C101" s="12">
        <v>5113150</v>
      </c>
      <c r="D101" s="13">
        <f t="shared" si="23"/>
        <v>0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spans="1:16" outlineLevel="1" x14ac:dyDescent="0.3">
      <c r="A102" s="19" t="s">
        <v>137</v>
      </c>
      <c r="B102" s="11" t="s">
        <v>133</v>
      </c>
      <c r="C102" s="12"/>
      <c r="D102" s="13">
        <f t="shared" si="23"/>
        <v>0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spans="1:16" outlineLevel="1" x14ac:dyDescent="0.3">
      <c r="A103" s="19" t="s">
        <v>138</v>
      </c>
      <c r="B103" s="11" t="s">
        <v>133</v>
      </c>
      <c r="C103" s="12">
        <v>5113170</v>
      </c>
      <c r="D103" s="13">
        <f t="shared" si="23"/>
        <v>0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spans="1:16" outlineLevel="1" x14ac:dyDescent="0.3">
      <c r="A104" s="19" t="s">
        <v>139</v>
      </c>
      <c r="B104" s="11" t="s">
        <v>3</v>
      </c>
      <c r="C104" s="12">
        <v>5113210</v>
      </c>
      <c r="D104" s="13">
        <f t="shared" si="23"/>
        <v>0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spans="1:16" outlineLevel="1" x14ac:dyDescent="0.3">
      <c r="A105" s="19" t="s">
        <v>140</v>
      </c>
      <c r="B105" s="23" t="s">
        <v>141</v>
      </c>
      <c r="C105" s="12">
        <v>5113160</v>
      </c>
      <c r="D105" s="13">
        <f t="shared" si="23"/>
        <v>0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spans="1:16" x14ac:dyDescent="0.3">
      <c r="A106" s="15" t="s">
        <v>142</v>
      </c>
      <c r="B106" s="16" t="s">
        <v>3</v>
      </c>
      <c r="C106" s="17"/>
      <c r="D106" s="25">
        <f t="shared" ref="D106:P106" si="24">D107</f>
        <v>0</v>
      </c>
      <c r="E106" s="25">
        <f t="shared" si="24"/>
        <v>0</v>
      </c>
      <c r="F106" s="25">
        <f t="shared" si="24"/>
        <v>0</v>
      </c>
      <c r="G106" s="25">
        <f t="shared" si="24"/>
        <v>0</v>
      </c>
      <c r="H106" s="25">
        <f t="shared" si="24"/>
        <v>0</v>
      </c>
      <c r="I106" s="25">
        <f t="shared" si="24"/>
        <v>0</v>
      </c>
      <c r="J106" s="25">
        <f t="shared" si="24"/>
        <v>0</v>
      </c>
      <c r="K106" s="25">
        <f t="shared" si="24"/>
        <v>0</v>
      </c>
      <c r="L106" s="25">
        <f t="shared" si="24"/>
        <v>0</v>
      </c>
      <c r="M106" s="25">
        <f t="shared" si="24"/>
        <v>0</v>
      </c>
      <c r="N106" s="25">
        <f t="shared" si="24"/>
        <v>0</v>
      </c>
      <c r="O106" s="25">
        <f t="shared" si="24"/>
        <v>0</v>
      </c>
      <c r="P106" s="25">
        <f t="shared" si="24"/>
        <v>0</v>
      </c>
    </row>
    <row r="107" spans="1:16" outlineLevel="1" x14ac:dyDescent="0.3">
      <c r="A107" s="19" t="s">
        <v>143</v>
      </c>
      <c r="B107" s="11" t="s">
        <v>144</v>
      </c>
      <c r="C107" s="12">
        <v>5115110</v>
      </c>
      <c r="D107" s="13">
        <f>SUM(E107:P107)</f>
        <v>0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1:16" x14ac:dyDescent="0.3">
      <c r="A108" s="15" t="s">
        <v>145</v>
      </c>
      <c r="B108" s="16" t="s">
        <v>3</v>
      </c>
      <c r="C108" s="17"/>
      <c r="D108" s="25">
        <f t="shared" ref="D108:P108" si="25">SUM(D109:D115)</f>
        <v>0</v>
      </c>
      <c r="E108" s="25">
        <f t="shared" si="25"/>
        <v>0</v>
      </c>
      <c r="F108" s="25">
        <f t="shared" si="25"/>
        <v>0</v>
      </c>
      <c r="G108" s="25">
        <f t="shared" si="25"/>
        <v>0</v>
      </c>
      <c r="H108" s="25">
        <f t="shared" si="25"/>
        <v>0</v>
      </c>
      <c r="I108" s="25">
        <f t="shared" si="25"/>
        <v>0</v>
      </c>
      <c r="J108" s="25">
        <f t="shared" si="25"/>
        <v>0</v>
      </c>
      <c r="K108" s="25">
        <f t="shared" si="25"/>
        <v>0</v>
      </c>
      <c r="L108" s="25">
        <f t="shared" si="25"/>
        <v>0</v>
      </c>
      <c r="M108" s="25">
        <f t="shared" si="25"/>
        <v>0</v>
      </c>
      <c r="N108" s="25">
        <f t="shared" si="25"/>
        <v>0</v>
      </c>
      <c r="O108" s="25">
        <f t="shared" si="25"/>
        <v>0</v>
      </c>
      <c r="P108" s="25">
        <f t="shared" si="25"/>
        <v>0</v>
      </c>
    </row>
    <row r="109" spans="1:16" outlineLevel="1" x14ac:dyDescent="0.3">
      <c r="A109" s="19" t="s">
        <v>146</v>
      </c>
      <c r="B109" s="11" t="s">
        <v>147</v>
      </c>
      <c r="C109" s="12">
        <v>5116110</v>
      </c>
      <c r="D109" s="13">
        <f t="shared" ref="D109:D115" si="26">SUM(E109:P109)</f>
        <v>0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spans="1:16" outlineLevel="1" x14ac:dyDescent="0.3">
      <c r="A110" s="19" t="s">
        <v>148</v>
      </c>
      <c r="B110" s="11" t="s">
        <v>147</v>
      </c>
      <c r="C110" s="12">
        <v>5116120</v>
      </c>
      <c r="D110" s="13">
        <f t="shared" si="26"/>
        <v>0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1:16" outlineLevel="1" x14ac:dyDescent="0.3">
      <c r="A111" s="19" t="s">
        <v>149</v>
      </c>
      <c r="B111" s="11" t="s">
        <v>150</v>
      </c>
      <c r="C111" s="12">
        <v>5116130</v>
      </c>
      <c r="D111" s="13">
        <f t="shared" si="26"/>
        <v>0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1:16" outlineLevel="1" x14ac:dyDescent="0.3">
      <c r="A112" s="19" t="s">
        <v>151</v>
      </c>
      <c r="B112" s="11" t="s">
        <v>147</v>
      </c>
      <c r="C112" s="12">
        <v>5116140</v>
      </c>
      <c r="D112" s="13">
        <f t="shared" si="26"/>
        <v>0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spans="1:16" outlineLevel="1" x14ac:dyDescent="0.3">
      <c r="A113" s="19" t="s">
        <v>152</v>
      </c>
      <c r="B113" s="11" t="s">
        <v>150</v>
      </c>
      <c r="C113" s="12">
        <v>5116150</v>
      </c>
      <c r="D113" s="13">
        <f t="shared" si="26"/>
        <v>0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spans="1:16" outlineLevel="1" x14ac:dyDescent="0.3">
      <c r="A114" s="19" t="s">
        <v>153</v>
      </c>
      <c r="B114" s="11" t="s">
        <v>147</v>
      </c>
      <c r="C114" s="12">
        <v>5116160</v>
      </c>
      <c r="D114" s="13">
        <f t="shared" si="26"/>
        <v>0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spans="1:16" outlineLevel="1" x14ac:dyDescent="0.3">
      <c r="A115" s="19" t="s">
        <v>154</v>
      </c>
      <c r="B115" s="11" t="s">
        <v>147</v>
      </c>
      <c r="C115" s="12">
        <v>5116111</v>
      </c>
      <c r="D115" s="13">
        <f t="shared" si="26"/>
        <v>0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1:16" x14ac:dyDescent="0.3">
      <c r="A116" s="15" t="s">
        <v>155</v>
      </c>
      <c r="B116" s="16" t="s">
        <v>3</v>
      </c>
      <c r="C116" s="17"/>
      <c r="D116" s="25">
        <f t="shared" ref="D116:P116" si="27">D117</f>
        <v>0</v>
      </c>
      <c r="E116" s="25">
        <f t="shared" si="27"/>
        <v>0</v>
      </c>
      <c r="F116" s="25">
        <f t="shared" si="27"/>
        <v>0</v>
      </c>
      <c r="G116" s="25">
        <f t="shared" si="27"/>
        <v>0</v>
      </c>
      <c r="H116" s="25">
        <f t="shared" si="27"/>
        <v>0</v>
      </c>
      <c r="I116" s="25">
        <f t="shared" si="27"/>
        <v>0</v>
      </c>
      <c r="J116" s="25">
        <f t="shared" si="27"/>
        <v>0</v>
      </c>
      <c r="K116" s="25">
        <f t="shared" si="27"/>
        <v>0</v>
      </c>
      <c r="L116" s="25">
        <f t="shared" si="27"/>
        <v>0</v>
      </c>
      <c r="M116" s="25">
        <f t="shared" si="27"/>
        <v>0</v>
      </c>
      <c r="N116" s="25">
        <f t="shared" si="27"/>
        <v>0</v>
      </c>
      <c r="O116" s="25">
        <f t="shared" si="27"/>
        <v>0</v>
      </c>
      <c r="P116" s="25">
        <f t="shared" si="27"/>
        <v>0</v>
      </c>
    </row>
    <row r="117" spans="1:16" outlineLevel="1" x14ac:dyDescent="0.3">
      <c r="A117" s="19" t="s">
        <v>156</v>
      </c>
      <c r="B117" s="11" t="s">
        <v>157</v>
      </c>
      <c r="C117" s="12">
        <v>5117110</v>
      </c>
      <c r="D117" s="13">
        <f>SUM(E117:P117)</f>
        <v>0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spans="1:16" x14ac:dyDescent="0.3">
      <c r="A118" s="15" t="s">
        <v>158</v>
      </c>
      <c r="B118" s="16" t="s">
        <v>3</v>
      </c>
      <c r="C118" s="17"/>
      <c r="D118" s="25">
        <f t="shared" ref="D118:P118" si="28">SUM(D119:D123)</f>
        <v>1200000</v>
      </c>
      <c r="E118" s="25">
        <f t="shared" si="28"/>
        <v>100000</v>
      </c>
      <c r="F118" s="25">
        <f t="shared" si="28"/>
        <v>100000</v>
      </c>
      <c r="G118" s="25">
        <f t="shared" si="28"/>
        <v>100000</v>
      </c>
      <c r="H118" s="25">
        <f t="shared" si="28"/>
        <v>100000</v>
      </c>
      <c r="I118" s="25">
        <f t="shared" si="28"/>
        <v>100000</v>
      </c>
      <c r="J118" s="25">
        <f t="shared" si="28"/>
        <v>100000</v>
      </c>
      <c r="K118" s="25">
        <f t="shared" si="28"/>
        <v>100000</v>
      </c>
      <c r="L118" s="25">
        <f t="shared" si="28"/>
        <v>100000</v>
      </c>
      <c r="M118" s="25">
        <f t="shared" si="28"/>
        <v>100000</v>
      </c>
      <c r="N118" s="25">
        <f t="shared" si="28"/>
        <v>100000</v>
      </c>
      <c r="O118" s="25">
        <f t="shared" si="28"/>
        <v>100000</v>
      </c>
      <c r="P118" s="25">
        <f t="shared" si="28"/>
        <v>100000</v>
      </c>
    </row>
    <row r="119" spans="1:16" outlineLevel="1" x14ac:dyDescent="0.3">
      <c r="A119" s="19" t="s">
        <v>159</v>
      </c>
      <c r="B119" s="11" t="s">
        <v>160</v>
      </c>
      <c r="C119" s="12">
        <v>5118110</v>
      </c>
      <c r="D119" s="13">
        <f>SUM(E119:P119)</f>
        <v>0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spans="1:16" outlineLevel="1" x14ac:dyDescent="0.3">
      <c r="A120" s="19" t="s">
        <v>161</v>
      </c>
      <c r="B120" s="11" t="s">
        <v>162</v>
      </c>
      <c r="C120" s="12">
        <v>5118120</v>
      </c>
      <c r="D120" s="13">
        <f>SUM(E120:P120)</f>
        <v>0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spans="1:16" outlineLevel="1" x14ac:dyDescent="0.3">
      <c r="A121" s="19" t="s">
        <v>163</v>
      </c>
      <c r="B121" s="11" t="s">
        <v>164</v>
      </c>
      <c r="C121" s="12">
        <v>5118130</v>
      </c>
      <c r="D121" s="13">
        <f>SUM(E121:P121)</f>
        <v>1200000</v>
      </c>
      <c r="E121" s="13">
        <v>100000</v>
      </c>
      <c r="F121" s="13">
        <v>100000</v>
      </c>
      <c r="G121" s="13">
        <v>100000</v>
      </c>
      <c r="H121" s="13">
        <v>100000</v>
      </c>
      <c r="I121" s="13">
        <v>100000</v>
      </c>
      <c r="J121" s="13">
        <v>100000</v>
      </c>
      <c r="K121" s="13">
        <v>100000</v>
      </c>
      <c r="L121" s="13">
        <v>100000</v>
      </c>
      <c r="M121" s="13">
        <v>100000</v>
      </c>
      <c r="N121" s="13">
        <v>100000</v>
      </c>
      <c r="O121" s="13">
        <v>100000</v>
      </c>
      <c r="P121" s="13">
        <v>100000</v>
      </c>
    </row>
    <row r="122" spans="1:16" outlineLevel="1" x14ac:dyDescent="0.3">
      <c r="A122" s="19" t="s">
        <v>165</v>
      </c>
      <c r="B122" s="11" t="s">
        <v>3</v>
      </c>
      <c r="C122" s="12">
        <v>5118140</v>
      </c>
      <c r="D122" s="13">
        <f>SUM(E122:P122)</f>
        <v>0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spans="1:16" outlineLevel="1" x14ac:dyDescent="0.3">
      <c r="A123" s="19" t="s">
        <v>166</v>
      </c>
      <c r="B123" s="11" t="s">
        <v>3</v>
      </c>
      <c r="C123" s="12">
        <v>5118150</v>
      </c>
      <c r="D123" s="13">
        <f>SUM(E123:P123)</f>
        <v>0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1:16" x14ac:dyDescent="0.3">
      <c r="A124" s="15" t="s">
        <v>167</v>
      </c>
      <c r="B124" s="16" t="s">
        <v>3</v>
      </c>
      <c r="C124" s="17"/>
      <c r="D124" s="25">
        <f t="shared" ref="D124:P124" si="29">SUM(D125:D126)</f>
        <v>864000</v>
      </c>
      <c r="E124" s="25">
        <f t="shared" si="29"/>
        <v>72000</v>
      </c>
      <c r="F124" s="25">
        <f t="shared" si="29"/>
        <v>72000</v>
      </c>
      <c r="G124" s="25">
        <f t="shared" si="29"/>
        <v>72000</v>
      </c>
      <c r="H124" s="25">
        <f t="shared" si="29"/>
        <v>72000</v>
      </c>
      <c r="I124" s="25">
        <f t="shared" si="29"/>
        <v>72000</v>
      </c>
      <c r="J124" s="25">
        <f t="shared" si="29"/>
        <v>72000</v>
      </c>
      <c r="K124" s="25">
        <f t="shared" si="29"/>
        <v>72000</v>
      </c>
      <c r="L124" s="25">
        <f t="shared" si="29"/>
        <v>72000</v>
      </c>
      <c r="M124" s="25">
        <f t="shared" si="29"/>
        <v>72000</v>
      </c>
      <c r="N124" s="25">
        <f t="shared" si="29"/>
        <v>72000</v>
      </c>
      <c r="O124" s="25">
        <f t="shared" si="29"/>
        <v>72000</v>
      </c>
      <c r="P124" s="25">
        <f t="shared" si="29"/>
        <v>72000</v>
      </c>
    </row>
    <row r="125" spans="1:16" outlineLevel="1" x14ac:dyDescent="0.3">
      <c r="A125" s="19" t="s">
        <v>168</v>
      </c>
      <c r="B125" s="11" t="s">
        <v>169</v>
      </c>
      <c r="C125" s="12">
        <v>5130110</v>
      </c>
      <c r="D125" s="13">
        <f>SUM(E125:P125)</f>
        <v>0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spans="1:16" outlineLevel="1" x14ac:dyDescent="0.3">
      <c r="A126" s="19" t="s">
        <v>170</v>
      </c>
      <c r="B126" s="11" t="s">
        <v>171</v>
      </c>
      <c r="C126" s="12">
        <v>5130120</v>
      </c>
      <c r="D126" s="13">
        <f>SUM(E126:P126)</f>
        <v>864000</v>
      </c>
      <c r="E126" s="13">
        <v>72000</v>
      </c>
      <c r="F126" s="13">
        <v>72000</v>
      </c>
      <c r="G126" s="13">
        <v>72000</v>
      </c>
      <c r="H126" s="13">
        <v>72000</v>
      </c>
      <c r="I126" s="13">
        <v>72000</v>
      </c>
      <c r="J126" s="13">
        <v>72000</v>
      </c>
      <c r="K126" s="13">
        <v>72000</v>
      </c>
      <c r="L126" s="13">
        <v>72000</v>
      </c>
      <c r="M126" s="13">
        <v>72000</v>
      </c>
      <c r="N126" s="13">
        <v>72000</v>
      </c>
      <c r="O126" s="13">
        <v>72000</v>
      </c>
      <c r="P126" s="13">
        <v>72000</v>
      </c>
    </row>
    <row r="127" spans="1:16" x14ac:dyDescent="0.3">
      <c r="A127" s="15" t="s">
        <v>172</v>
      </c>
      <c r="B127" s="16" t="s">
        <v>3</v>
      </c>
      <c r="C127" s="17"/>
      <c r="D127" s="25">
        <f t="shared" ref="D127:P127" si="30">SUM(D128:D135)</f>
        <v>2000000</v>
      </c>
      <c r="E127" s="25">
        <f t="shared" si="30"/>
        <v>200000</v>
      </c>
      <c r="F127" s="25">
        <f t="shared" si="30"/>
        <v>200000</v>
      </c>
      <c r="G127" s="25">
        <f t="shared" si="30"/>
        <v>100000</v>
      </c>
      <c r="H127" s="25">
        <f t="shared" si="30"/>
        <v>200000</v>
      </c>
      <c r="I127" s="25">
        <f t="shared" si="30"/>
        <v>200000</v>
      </c>
      <c r="J127" s="25">
        <f t="shared" si="30"/>
        <v>100000</v>
      </c>
      <c r="K127" s="25">
        <f t="shared" si="30"/>
        <v>200000</v>
      </c>
      <c r="L127" s="25">
        <f t="shared" si="30"/>
        <v>200000</v>
      </c>
      <c r="M127" s="25">
        <f t="shared" si="30"/>
        <v>100000</v>
      </c>
      <c r="N127" s="25">
        <f t="shared" si="30"/>
        <v>200000</v>
      </c>
      <c r="O127" s="25">
        <f t="shared" si="30"/>
        <v>200000</v>
      </c>
      <c r="P127" s="25">
        <f t="shared" si="30"/>
        <v>100000</v>
      </c>
    </row>
    <row r="128" spans="1:16" outlineLevel="1" x14ac:dyDescent="0.3">
      <c r="A128" s="19" t="s">
        <v>173</v>
      </c>
      <c r="B128" s="11" t="s">
        <v>174</v>
      </c>
      <c r="C128" s="12">
        <v>5119110</v>
      </c>
      <c r="D128" s="13">
        <f t="shared" ref="D128:D135" si="31">SUM(E128:P128)</f>
        <v>0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spans="1:16" outlineLevel="1" x14ac:dyDescent="0.3">
      <c r="A129" s="19" t="s">
        <v>175</v>
      </c>
      <c r="B129" s="11" t="s">
        <v>176</v>
      </c>
      <c r="C129" s="12">
        <v>5119120</v>
      </c>
      <c r="D129" s="13">
        <f t="shared" si="31"/>
        <v>0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spans="1:16" outlineLevel="1" x14ac:dyDescent="0.3">
      <c r="A130" s="19" t="s">
        <v>177</v>
      </c>
      <c r="B130" s="11" t="s">
        <v>178</v>
      </c>
      <c r="C130" s="12">
        <v>5119130</v>
      </c>
      <c r="D130" s="13">
        <f t="shared" si="31"/>
        <v>0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spans="1:16" outlineLevel="1" x14ac:dyDescent="0.3">
      <c r="A131" s="19" t="s">
        <v>179</v>
      </c>
      <c r="B131" s="11" t="s">
        <v>180</v>
      </c>
      <c r="C131" s="12">
        <v>5119140</v>
      </c>
      <c r="D131" s="13">
        <f t="shared" si="31"/>
        <v>0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spans="1:16" outlineLevel="1" x14ac:dyDescent="0.3">
      <c r="A132" s="19" t="s">
        <v>181</v>
      </c>
      <c r="B132" s="11" t="s">
        <v>182</v>
      </c>
      <c r="C132" s="12">
        <v>5119150</v>
      </c>
      <c r="D132" s="13">
        <f t="shared" si="31"/>
        <v>2000000</v>
      </c>
      <c r="E132" s="13">
        <v>200000</v>
      </c>
      <c r="F132" s="13">
        <v>200000</v>
      </c>
      <c r="G132" s="13">
        <v>100000</v>
      </c>
      <c r="H132" s="13">
        <v>200000</v>
      </c>
      <c r="I132" s="13">
        <v>200000</v>
      </c>
      <c r="J132" s="13">
        <v>100000</v>
      </c>
      <c r="K132" s="13">
        <v>200000</v>
      </c>
      <c r="L132" s="13">
        <v>200000</v>
      </c>
      <c r="M132" s="13">
        <v>100000</v>
      </c>
      <c r="N132" s="13">
        <v>200000</v>
      </c>
      <c r="O132" s="13">
        <v>200000</v>
      </c>
      <c r="P132" s="13">
        <v>100000</v>
      </c>
    </row>
    <row r="133" spans="1:16" outlineLevel="1" x14ac:dyDescent="0.3">
      <c r="A133" s="19" t="s">
        <v>183</v>
      </c>
      <c r="B133" s="11" t="s">
        <v>184</v>
      </c>
      <c r="C133" s="12">
        <v>5119160</v>
      </c>
      <c r="D133" s="13">
        <f t="shared" si="31"/>
        <v>0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spans="1:16" outlineLevel="1" x14ac:dyDescent="0.3">
      <c r="A134" s="19" t="s">
        <v>185</v>
      </c>
      <c r="B134" s="11" t="s">
        <v>185</v>
      </c>
      <c r="C134" s="12">
        <v>5119121</v>
      </c>
      <c r="D134" s="13">
        <f t="shared" si="31"/>
        <v>0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spans="1:16" outlineLevel="1" x14ac:dyDescent="0.3">
      <c r="A135" s="19" t="s">
        <v>186</v>
      </c>
      <c r="B135" s="23" t="s">
        <v>187</v>
      </c>
      <c r="C135" s="12">
        <v>5119151</v>
      </c>
      <c r="D135" s="13">
        <f t="shared" si="31"/>
        <v>0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spans="1:16" x14ac:dyDescent="0.3">
      <c r="A136" s="15" t="s">
        <v>188</v>
      </c>
      <c r="B136" s="16" t="s">
        <v>3</v>
      </c>
      <c r="C136" s="17"/>
      <c r="D136" s="25">
        <f t="shared" ref="D136:P136" si="32">SUM(D137:D140)</f>
        <v>302000000</v>
      </c>
      <c r="E136" s="25">
        <f t="shared" si="32"/>
        <v>27000000</v>
      </c>
      <c r="F136" s="25">
        <f t="shared" si="32"/>
        <v>37000000</v>
      </c>
      <c r="G136" s="25">
        <f t="shared" si="32"/>
        <v>37000000</v>
      </c>
      <c r="H136" s="25">
        <f t="shared" si="32"/>
        <v>17000000</v>
      </c>
      <c r="I136" s="25">
        <f t="shared" si="32"/>
        <v>27000000</v>
      </c>
      <c r="J136" s="25">
        <f t="shared" si="32"/>
        <v>27000000</v>
      </c>
      <c r="K136" s="25">
        <f t="shared" si="32"/>
        <v>28000000</v>
      </c>
      <c r="L136" s="25">
        <f t="shared" si="32"/>
        <v>18000000</v>
      </c>
      <c r="M136" s="25">
        <f t="shared" si="32"/>
        <v>28000000</v>
      </c>
      <c r="N136" s="25">
        <f t="shared" si="32"/>
        <v>12000000</v>
      </c>
      <c r="O136" s="25">
        <f t="shared" si="32"/>
        <v>22000000</v>
      </c>
      <c r="P136" s="25">
        <f t="shared" si="32"/>
        <v>22000000</v>
      </c>
    </row>
    <row r="137" spans="1:16" outlineLevel="1" x14ac:dyDescent="0.3">
      <c r="A137" s="19" t="s">
        <v>189</v>
      </c>
      <c r="B137" s="11" t="s">
        <v>190</v>
      </c>
      <c r="C137" s="12">
        <v>5120110</v>
      </c>
      <c r="D137" s="13">
        <f>SUM(E137:P137)</f>
        <v>24000000</v>
      </c>
      <c r="E137" s="13">
        <v>2000000</v>
      </c>
      <c r="F137" s="13">
        <v>2000000</v>
      </c>
      <c r="G137" s="13">
        <v>2000000</v>
      </c>
      <c r="H137" s="13">
        <v>2000000</v>
      </c>
      <c r="I137" s="13">
        <v>2000000</v>
      </c>
      <c r="J137" s="13">
        <v>2000000</v>
      </c>
      <c r="K137" s="13">
        <v>2000000</v>
      </c>
      <c r="L137" s="13">
        <v>2000000</v>
      </c>
      <c r="M137" s="13">
        <v>2000000</v>
      </c>
      <c r="N137" s="13">
        <v>2000000</v>
      </c>
      <c r="O137" s="13">
        <v>2000000</v>
      </c>
      <c r="P137" s="13">
        <v>2000000</v>
      </c>
    </row>
    <row r="138" spans="1:16" outlineLevel="1" x14ac:dyDescent="0.3">
      <c r="A138" s="22" t="s">
        <v>191</v>
      </c>
      <c r="B138" s="11" t="s">
        <v>190</v>
      </c>
      <c r="C138" s="12">
        <v>5120140</v>
      </c>
      <c r="D138" s="13">
        <f>SUM(E138:P138)</f>
        <v>0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spans="1:16" outlineLevel="1" x14ac:dyDescent="0.3">
      <c r="A139" s="22" t="s">
        <v>192</v>
      </c>
      <c r="B139" s="11" t="s">
        <v>190</v>
      </c>
      <c r="C139" s="12">
        <v>5120130</v>
      </c>
      <c r="D139" s="13">
        <f>SUM(E139:P139)</f>
        <v>0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spans="1:16" outlineLevel="1" x14ac:dyDescent="0.3">
      <c r="A140" s="19" t="s">
        <v>193</v>
      </c>
      <c r="B140" s="11" t="s">
        <v>190</v>
      </c>
      <c r="C140" s="12">
        <v>5120120</v>
      </c>
      <c r="D140" s="13">
        <f>SUM(E140:P140)</f>
        <v>278000000</v>
      </c>
      <c r="E140" s="58">
        <f>35000000-10000000</f>
        <v>25000000</v>
      </c>
      <c r="F140" s="13">
        <v>35000000</v>
      </c>
      <c r="G140" s="13">
        <v>35000000</v>
      </c>
      <c r="H140" s="58">
        <f>25000000-10000000</f>
        <v>15000000</v>
      </c>
      <c r="I140" s="13">
        <v>25000000</v>
      </c>
      <c r="J140" s="13">
        <v>25000000</v>
      </c>
      <c r="K140" s="13">
        <v>26000000</v>
      </c>
      <c r="L140" s="58">
        <f>26000000-10000000</f>
        <v>16000000</v>
      </c>
      <c r="M140" s="13">
        <v>26000000</v>
      </c>
      <c r="N140" s="58">
        <f>20000000-10000000</f>
        <v>10000000</v>
      </c>
      <c r="O140" s="13">
        <v>20000000</v>
      </c>
      <c r="P140" s="13">
        <v>20000000</v>
      </c>
    </row>
    <row r="141" spans="1:16" x14ac:dyDescent="0.3">
      <c r="A141" s="15" t="s">
        <v>194</v>
      </c>
      <c r="B141" s="16" t="s">
        <v>3</v>
      </c>
      <c r="C141" s="17"/>
      <c r="D141" s="25">
        <f t="shared" ref="D141:P141" si="33">SUM(D142:D145)</f>
        <v>0</v>
      </c>
      <c r="E141" s="25">
        <f t="shared" si="33"/>
        <v>0</v>
      </c>
      <c r="F141" s="25">
        <f t="shared" si="33"/>
        <v>0</v>
      </c>
      <c r="G141" s="25">
        <f t="shared" si="33"/>
        <v>0</v>
      </c>
      <c r="H141" s="25">
        <f t="shared" si="33"/>
        <v>0</v>
      </c>
      <c r="I141" s="25">
        <f t="shared" si="33"/>
        <v>0</v>
      </c>
      <c r="J141" s="25">
        <f t="shared" si="33"/>
        <v>0</v>
      </c>
      <c r="K141" s="25">
        <f t="shared" si="33"/>
        <v>0</v>
      </c>
      <c r="L141" s="25">
        <f t="shared" si="33"/>
        <v>0</v>
      </c>
      <c r="M141" s="25">
        <f t="shared" si="33"/>
        <v>0</v>
      </c>
      <c r="N141" s="25">
        <f t="shared" si="33"/>
        <v>0</v>
      </c>
      <c r="O141" s="25">
        <f t="shared" si="33"/>
        <v>0</v>
      </c>
      <c r="P141" s="25">
        <f t="shared" si="33"/>
        <v>0</v>
      </c>
    </row>
    <row r="142" spans="1:16" outlineLevel="1" x14ac:dyDescent="0.3">
      <c r="A142" s="19" t="s">
        <v>195</v>
      </c>
      <c r="B142" s="11" t="s">
        <v>195</v>
      </c>
      <c r="C142" s="12">
        <v>5121110</v>
      </c>
      <c r="D142" s="13">
        <f>SUM(E142:P142)</f>
        <v>0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spans="1:16" outlineLevel="1" x14ac:dyDescent="0.3">
      <c r="A143" s="19" t="s">
        <v>196</v>
      </c>
      <c r="B143" s="11" t="s">
        <v>196</v>
      </c>
      <c r="C143" s="12">
        <v>5121120</v>
      </c>
      <c r="D143" s="13">
        <f>SUM(E143:P143)</f>
        <v>0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spans="1:16" outlineLevel="1" x14ac:dyDescent="0.3">
      <c r="A144" s="19" t="s">
        <v>197</v>
      </c>
      <c r="B144" s="11" t="s">
        <v>197</v>
      </c>
      <c r="C144" s="12">
        <v>5121140</v>
      </c>
      <c r="D144" s="13">
        <f>SUM(E144:P144)</f>
        <v>0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spans="1:16" outlineLevel="1" x14ac:dyDescent="0.3">
      <c r="A145" s="19" t="s">
        <v>198</v>
      </c>
      <c r="B145" s="11" t="s">
        <v>199</v>
      </c>
      <c r="C145" s="12">
        <v>5121150</v>
      </c>
      <c r="D145" s="13">
        <f>SUM(E145:P145)</f>
        <v>0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spans="1:16" x14ac:dyDescent="0.3">
      <c r="A146" s="15" t="s">
        <v>200</v>
      </c>
      <c r="B146" s="16" t="s">
        <v>3</v>
      </c>
      <c r="C146" s="17"/>
      <c r="D146" s="25">
        <f t="shared" ref="D146:P146" si="34">SUM(D147:D150)</f>
        <v>0</v>
      </c>
      <c r="E146" s="25">
        <f t="shared" si="34"/>
        <v>0</v>
      </c>
      <c r="F146" s="25">
        <f t="shared" si="34"/>
        <v>0</v>
      </c>
      <c r="G146" s="25">
        <f t="shared" si="34"/>
        <v>0</v>
      </c>
      <c r="H146" s="25">
        <f t="shared" si="34"/>
        <v>0</v>
      </c>
      <c r="I146" s="25">
        <f t="shared" si="34"/>
        <v>0</v>
      </c>
      <c r="J146" s="25">
        <f t="shared" si="34"/>
        <v>0</v>
      </c>
      <c r="K146" s="25">
        <f t="shared" si="34"/>
        <v>0</v>
      </c>
      <c r="L146" s="25">
        <f t="shared" si="34"/>
        <v>0</v>
      </c>
      <c r="M146" s="25">
        <f t="shared" si="34"/>
        <v>0</v>
      </c>
      <c r="N146" s="25">
        <f t="shared" si="34"/>
        <v>0</v>
      </c>
      <c r="O146" s="25">
        <f t="shared" si="34"/>
        <v>0</v>
      </c>
      <c r="P146" s="25">
        <f t="shared" si="34"/>
        <v>0</v>
      </c>
    </row>
    <row r="147" spans="1:16" outlineLevel="1" x14ac:dyDescent="0.3">
      <c r="A147" s="19" t="s">
        <v>201</v>
      </c>
      <c r="B147" s="11" t="s">
        <v>202</v>
      </c>
      <c r="C147" s="12">
        <v>5122110</v>
      </c>
      <c r="D147" s="13">
        <f>SUM(E147:P147)</f>
        <v>0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spans="1:16" outlineLevel="1" x14ac:dyDescent="0.3">
      <c r="A148" s="19" t="s">
        <v>203</v>
      </c>
      <c r="B148" s="11" t="s">
        <v>204</v>
      </c>
      <c r="C148" s="12">
        <v>5122120</v>
      </c>
      <c r="D148" s="13">
        <f>SUM(E148:P148)</f>
        <v>0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spans="1:16" outlineLevel="1" x14ac:dyDescent="0.3">
      <c r="A149" s="22" t="s">
        <v>205</v>
      </c>
      <c r="B149" s="11" t="s">
        <v>206</v>
      </c>
      <c r="C149" s="12">
        <v>5122130</v>
      </c>
      <c r="D149" s="13">
        <f>SUM(E149:P149)</f>
        <v>0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spans="1:16" outlineLevel="1" x14ac:dyDescent="0.3">
      <c r="A150" s="19" t="s">
        <v>207</v>
      </c>
      <c r="B150" s="11" t="s">
        <v>208</v>
      </c>
      <c r="C150" s="12">
        <v>5122140</v>
      </c>
      <c r="D150" s="13">
        <f>SUM(E150:P150)</f>
        <v>0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spans="1:16" x14ac:dyDescent="0.3">
      <c r="A151" s="15" t="s">
        <v>209</v>
      </c>
      <c r="B151" s="16" t="s">
        <v>3</v>
      </c>
      <c r="C151" s="17"/>
      <c r="D151" s="25">
        <f t="shared" ref="D151:P151" si="35">SUM(D152:D154)</f>
        <v>0</v>
      </c>
      <c r="E151" s="25">
        <f t="shared" si="35"/>
        <v>0</v>
      </c>
      <c r="F151" s="25">
        <f t="shared" si="35"/>
        <v>0</v>
      </c>
      <c r="G151" s="25">
        <f t="shared" si="35"/>
        <v>0</v>
      </c>
      <c r="H151" s="25">
        <f t="shared" si="35"/>
        <v>0</v>
      </c>
      <c r="I151" s="25">
        <f t="shared" si="35"/>
        <v>0</v>
      </c>
      <c r="J151" s="25">
        <f t="shared" si="35"/>
        <v>0</v>
      </c>
      <c r="K151" s="25">
        <f t="shared" si="35"/>
        <v>0</v>
      </c>
      <c r="L151" s="25">
        <f t="shared" si="35"/>
        <v>0</v>
      </c>
      <c r="M151" s="25">
        <f t="shared" si="35"/>
        <v>0</v>
      </c>
      <c r="N151" s="25">
        <f t="shared" si="35"/>
        <v>0</v>
      </c>
      <c r="O151" s="25">
        <f t="shared" si="35"/>
        <v>0</v>
      </c>
      <c r="P151" s="25">
        <f t="shared" si="35"/>
        <v>0</v>
      </c>
    </row>
    <row r="152" spans="1:16" outlineLevel="1" x14ac:dyDescent="0.3">
      <c r="A152" s="19" t="s">
        <v>210</v>
      </c>
      <c r="B152" s="11" t="s">
        <v>211</v>
      </c>
      <c r="C152" s="12">
        <v>5123110</v>
      </c>
      <c r="D152" s="13">
        <f>SUM(E152:P152)</f>
        <v>0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spans="1:16" outlineLevel="1" x14ac:dyDescent="0.3">
      <c r="A153" s="19" t="s">
        <v>212</v>
      </c>
      <c r="B153" s="11" t="s">
        <v>213</v>
      </c>
      <c r="C153" s="12">
        <v>5123120</v>
      </c>
      <c r="D153" s="13">
        <f>SUM(E153:P153)</f>
        <v>0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spans="1:16" outlineLevel="1" x14ac:dyDescent="0.3">
      <c r="A154" s="34" t="s">
        <v>214</v>
      </c>
      <c r="B154" s="35" t="s">
        <v>215</v>
      </c>
      <c r="C154" s="36">
        <v>5123130</v>
      </c>
      <c r="D154" s="38">
        <f>SUM(E154:P154)</f>
        <v>0</v>
      </c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E496-19CE-488E-BCAD-FC52C3587F00}">
  <sheetPr>
    <tabColor theme="9"/>
  </sheetPr>
  <dimension ref="A1:P154"/>
  <sheetViews>
    <sheetView tabSelected="1" zoomScale="85" zoomScaleNormal="85" workbookViewId="0">
      <pane xSplit="3" ySplit="3" topLeftCell="D4" activePane="bottomRight" state="frozen"/>
      <selection activeCell="BF17" sqref="BF17"/>
      <selection pane="topRight" activeCell="BF17" sqref="BF17"/>
      <selection pane="bottomLeft" activeCell="BF17" sqref="BF17"/>
      <selection pane="bottomRight" activeCell="H17" sqref="H17"/>
    </sheetView>
  </sheetViews>
  <sheetFormatPr defaultColWidth="9" defaultRowHeight="16.5" outlineLevelRow="1" outlineLevelCol="1" x14ac:dyDescent="0.3"/>
  <cols>
    <col min="1" max="1" width="41" style="42" customWidth="1"/>
    <col min="2" max="2" width="27.75" style="42" customWidth="1" outlineLevel="1"/>
    <col min="3" max="3" width="9.25" style="43" customWidth="1" outlineLevel="1"/>
    <col min="4" max="4" width="14.25" style="42" bestFit="1" customWidth="1"/>
    <col min="5" max="16" width="14.25" style="42" customWidth="1" outlineLevel="1"/>
    <col min="17" max="16384" width="9" style="42"/>
  </cols>
  <sheetData>
    <row r="1" spans="1:16" x14ac:dyDescent="0.3">
      <c r="A1" s="56" t="s">
        <v>220</v>
      </c>
    </row>
    <row r="2" spans="1:16" x14ac:dyDescent="0.3">
      <c r="A2" s="42" t="s">
        <v>221</v>
      </c>
    </row>
    <row r="3" spans="1:16" x14ac:dyDescent="0.3">
      <c r="A3" s="4" t="s">
        <v>0</v>
      </c>
      <c r="B3" s="4" t="s">
        <v>1</v>
      </c>
      <c r="C3" s="5" t="s">
        <v>2</v>
      </c>
      <c r="D3" s="6">
        <v>2026</v>
      </c>
      <c r="E3" s="6">
        <v>2026.01</v>
      </c>
      <c r="F3" s="6">
        <v>2026.02</v>
      </c>
      <c r="G3" s="6">
        <v>2026.03</v>
      </c>
      <c r="H3" s="6">
        <v>2026.04</v>
      </c>
      <c r="I3" s="6">
        <v>2026.05</v>
      </c>
      <c r="J3" s="6">
        <v>2026.06</v>
      </c>
      <c r="K3" s="6">
        <v>2026.07</v>
      </c>
      <c r="L3" s="6">
        <v>2026.08</v>
      </c>
      <c r="M3" s="6">
        <v>2026.09</v>
      </c>
      <c r="N3" s="54">
        <v>2026.1</v>
      </c>
      <c r="O3" s="6">
        <v>2026.11</v>
      </c>
      <c r="P3" s="6">
        <v>2026.12</v>
      </c>
    </row>
    <row r="4" spans="1:16" x14ac:dyDescent="0.3">
      <c r="A4" s="7" t="s">
        <v>4</v>
      </c>
      <c r="B4" s="45" t="s">
        <v>3</v>
      </c>
      <c r="C4" s="46"/>
      <c r="D4" s="24">
        <f t="shared" ref="D4:P4" si="0">D5+D24+D30+D38+D46+D57+D66+D78+D85+D93+D96+D106+D108+D116+D118+D124+D127+D136+D141+D146+D151</f>
        <v>274757956</v>
      </c>
      <c r="E4" s="24">
        <f t="shared" si="0"/>
        <v>21531912</v>
      </c>
      <c r="F4" s="24">
        <f t="shared" si="0"/>
        <v>15559092</v>
      </c>
      <c r="G4" s="24">
        <f t="shared" si="0"/>
        <v>20667874</v>
      </c>
      <c r="H4" s="24">
        <f t="shared" si="0"/>
        <v>15304206</v>
      </c>
      <c r="I4" s="24">
        <f t="shared" si="0"/>
        <v>15795632</v>
      </c>
      <c r="J4" s="24">
        <f t="shared" si="0"/>
        <v>49722584</v>
      </c>
      <c r="K4" s="24">
        <f t="shared" si="0"/>
        <v>19388932</v>
      </c>
      <c r="L4" s="24">
        <f t="shared" si="0"/>
        <v>17228142</v>
      </c>
      <c r="M4" s="24">
        <f t="shared" si="0"/>
        <v>18097524</v>
      </c>
      <c r="N4" s="24">
        <f t="shared" si="0"/>
        <v>25865922</v>
      </c>
      <c r="O4" s="24">
        <f t="shared" si="0"/>
        <v>24352992</v>
      </c>
      <c r="P4" s="24">
        <f t="shared" si="0"/>
        <v>31243144</v>
      </c>
    </row>
    <row r="5" spans="1:16" x14ac:dyDescent="0.3">
      <c r="A5" s="15" t="s">
        <v>5</v>
      </c>
      <c r="B5" s="49" t="s">
        <v>3</v>
      </c>
      <c r="C5" s="50"/>
      <c r="D5" s="18">
        <f t="shared" ref="D5:P5" si="1">SUM(D6:D23)</f>
        <v>62237744</v>
      </c>
      <c r="E5" s="18">
        <f t="shared" si="1"/>
        <v>5119812</v>
      </c>
      <c r="F5" s="28">
        <f t="shared" si="1"/>
        <v>5119812</v>
      </c>
      <c r="G5" s="18">
        <f t="shared" si="1"/>
        <v>5319812</v>
      </c>
      <c r="H5" s="18">
        <f t="shared" si="1"/>
        <v>5119812</v>
      </c>
      <c r="I5" s="18">
        <f t="shared" si="1"/>
        <v>5119812</v>
      </c>
      <c r="J5" s="18">
        <f t="shared" si="1"/>
        <v>5319812</v>
      </c>
      <c r="K5" s="18">
        <f t="shared" si="1"/>
        <v>5119812</v>
      </c>
      <c r="L5" s="18">
        <f t="shared" si="1"/>
        <v>5119812</v>
      </c>
      <c r="M5" s="18">
        <f t="shared" si="1"/>
        <v>5319812</v>
      </c>
      <c r="N5" s="18">
        <f t="shared" si="1"/>
        <v>5119812</v>
      </c>
      <c r="O5" s="18">
        <f t="shared" si="1"/>
        <v>5119812</v>
      </c>
      <c r="P5" s="18">
        <f t="shared" si="1"/>
        <v>5319812</v>
      </c>
    </row>
    <row r="6" spans="1:16" outlineLevel="1" x14ac:dyDescent="0.3">
      <c r="A6" s="19" t="s">
        <v>6</v>
      </c>
      <c r="B6" s="47" t="s">
        <v>7</v>
      </c>
      <c r="C6" s="48">
        <v>5103260</v>
      </c>
      <c r="D6" s="20">
        <f t="shared" ref="D6:D23" si="2">SUM(E6:P6)</f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</row>
    <row r="7" spans="1:16" outlineLevel="1" x14ac:dyDescent="0.3">
      <c r="A7" s="19" t="s">
        <v>8</v>
      </c>
      <c r="B7" s="47" t="s">
        <v>9</v>
      </c>
      <c r="C7" s="48">
        <v>5103250</v>
      </c>
      <c r="D7" s="20">
        <f t="shared" si="2"/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</row>
    <row r="8" spans="1:16" outlineLevel="1" x14ac:dyDescent="0.3">
      <c r="A8" s="19" t="s">
        <v>10</v>
      </c>
      <c r="B8" s="47" t="s">
        <v>11</v>
      </c>
      <c r="C8" s="48">
        <v>5103240</v>
      </c>
      <c r="D8" s="20">
        <f t="shared" si="2"/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</row>
    <row r="9" spans="1:16" outlineLevel="1" x14ac:dyDescent="0.3">
      <c r="A9" s="19" t="s">
        <v>12</v>
      </c>
      <c r="B9" s="47" t="s">
        <v>13</v>
      </c>
      <c r="C9" s="48">
        <v>5103230</v>
      </c>
      <c r="D9" s="20">
        <f t="shared" si="2"/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</row>
    <row r="10" spans="1:16" outlineLevel="1" x14ac:dyDescent="0.3">
      <c r="A10" s="19" t="s">
        <v>14</v>
      </c>
      <c r="B10" s="47" t="s">
        <v>15</v>
      </c>
      <c r="C10" s="48">
        <v>5103220</v>
      </c>
      <c r="D10" s="20">
        <f t="shared" si="2"/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</row>
    <row r="11" spans="1:16" outlineLevel="1" x14ac:dyDescent="0.3">
      <c r="A11" s="19" t="s">
        <v>16</v>
      </c>
      <c r="B11" s="47" t="s">
        <v>16</v>
      </c>
      <c r="C11" s="48">
        <v>5103210</v>
      </c>
      <c r="D11" s="20">
        <f t="shared" si="2"/>
        <v>800000</v>
      </c>
      <c r="E11" s="20">
        <v>0</v>
      </c>
      <c r="F11" s="20">
        <v>0</v>
      </c>
      <c r="G11" s="20">
        <v>200000</v>
      </c>
      <c r="H11" s="31">
        <v>0</v>
      </c>
      <c r="I11" s="20">
        <v>0</v>
      </c>
      <c r="J11" s="31">
        <v>200000</v>
      </c>
      <c r="K11" s="20">
        <v>0</v>
      </c>
      <c r="L11" s="31">
        <v>0</v>
      </c>
      <c r="M11" s="20">
        <v>200000</v>
      </c>
      <c r="N11" s="20">
        <v>0</v>
      </c>
      <c r="O11" s="20">
        <v>0</v>
      </c>
      <c r="P11" s="20">
        <v>200000</v>
      </c>
    </row>
    <row r="12" spans="1:16" outlineLevel="1" x14ac:dyDescent="0.3">
      <c r="A12" s="19" t="s">
        <v>17</v>
      </c>
      <c r="B12" s="47" t="s">
        <v>18</v>
      </c>
      <c r="C12" s="48">
        <v>5103190</v>
      </c>
      <c r="D12" s="20">
        <f t="shared" si="2"/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</row>
    <row r="13" spans="1:16" outlineLevel="1" x14ac:dyDescent="0.3">
      <c r="A13" s="19" t="s">
        <v>19</v>
      </c>
      <c r="B13" s="47" t="s">
        <v>20</v>
      </c>
      <c r="C13" s="48">
        <v>5103180</v>
      </c>
      <c r="D13" s="20">
        <f t="shared" si="2"/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</row>
    <row r="14" spans="1:16" outlineLevel="1" x14ac:dyDescent="0.3">
      <c r="A14" s="19" t="s">
        <v>21</v>
      </c>
      <c r="B14" s="47" t="s">
        <v>22</v>
      </c>
      <c r="C14" s="48">
        <v>5103170</v>
      </c>
      <c r="D14" s="20">
        <f t="shared" si="2"/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</row>
    <row r="15" spans="1:16" outlineLevel="1" x14ac:dyDescent="0.3">
      <c r="A15" s="19" t="s">
        <v>23</v>
      </c>
      <c r="B15" s="47" t="s">
        <v>24</v>
      </c>
      <c r="C15" s="48">
        <v>5103160</v>
      </c>
      <c r="D15" s="20">
        <f t="shared" si="2"/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</row>
    <row r="16" spans="1:16" outlineLevel="1" x14ac:dyDescent="0.3">
      <c r="A16" s="19" t="s">
        <v>25</v>
      </c>
      <c r="B16" s="47" t="s">
        <v>26</v>
      </c>
      <c r="C16" s="48">
        <v>5103150</v>
      </c>
      <c r="D16" s="20">
        <f t="shared" si="2"/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</row>
    <row r="17" spans="1:16" outlineLevel="1" x14ac:dyDescent="0.3">
      <c r="A17" s="19" t="s">
        <v>27</v>
      </c>
      <c r="B17" s="47" t="s">
        <v>28</v>
      </c>
      <c r="C17" s="48">
        <v>5103140</v>
      </c>
      <c r="D17" s="20">
        <f t="shared" si="2"/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</row>
    <row r="18" spans="1:16" outlineLevel="1" x14ac:dyDescent="0.3">
      <c r="A18" s="19" t="s">
        <v>29</v>
      </c>
      <c r="B18" s="47" t="s">
        <v>3</v>
      </c>
      <c r="C18" s="48">
        <v>5103130</v>
      </c>
      <c r="D18" s="20">
        <f t="shared" si="2"/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</row>
    <row r="19" spans="1:16" outlineLevel="1" x14ac:dyDescent="0.3">
      <c r="A19" s="19" t="s">
        <v>30</v>
      </c>
      <c r="B19" s="47" t="s">
        <v>31</v>
      </c>
      <c r="C19" s="48">
        <v>5103120</v>
      </c>
      <c r="D19" s="20">
        <f t="shared" si="2"/>
        <v>0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 outlineLevel="1" x14ac:dyDescent="0.3">
      <c r="A20" s="19" t="s">
        <v>32</v>
      </c>
      <c r="B20" s="47" t="s">
        <v>33</v>
      </c>
      <c r="C20" s="48">
        <v>5103110</v>
      </c>
      <c r="D20" s="20">
        <f t="shared" si="2"/>
        <v>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outlineLevel="1" x14ac:dyDescent="0.3">
      <c r="A21" s="19" t="s">
        <v>34</v>
      </c>
      <c r="B21" s="47" t="s">
        <v>18</v>
      </c>
      <c r="C21" s="48">
        <v>5103270</v>
      </c>
      <c r="D21" s="20">
        <f t="shared" si="2"/>
        <v>58115664</v>
      </c>
      <c r="E21" s="20">
        <v>4842972</v>
      </c>
      <c r="F21" s="20">
        <v>4842972</v>
      </c>
      <c r="G21" s="20">
        <v>4842972</v>
      </c>
      <c r="H21" s="20">
        <v>4842972</v>
      </c>
      <c r="I21" s="20">
        <v>4842972</v>
      </c>
      <c r="J21" s="20">
        <v>4842972</v>
      </c>
      <c r="K21" s="20">
        <v>4842972</v>
      </c>
      <c r="L21" s="20">
        <v>4842972</v>
      </c>
      <c r="M21" s="20">
        <v>4842972</v>
      </c>
      <c r="N21" s="20">
        <v>4842972</v>
      </c>
      <c r="O21" s="20">
        <v>4842972</v>
      </c>
      <c r="P21" s="20">
        <v>4842972</v>
      </c>
    </row>
    <row r="22" spans="1:16" outlineLevel="1" x14ac:dyDescent="0.3">
      <c r="A22" s="19" t="s">
        <v>35</v>
      </c>
      <c r="B22" s="47" t="s">
        <v>35</v>
      </c>
      <c r="C22" s="48">
        <v>5103111</v>
      </c>
      <c r="D22" s="20">
        <f t="shared" si="2"/>
        <v>82080</v>
      </c>
      <c r="E22" s="20">
        <v>6840</v>
      </c>
      <c r="F22" s="20">
        <v>6840</v>
      </c>
      <c r="G22" s="20">
        <v>6840</v>
      </c>
      <c r="H22" s="20">
        <v>6840</v>
      </c>
      <c r="I22" s="20">
        <v>6840</v>
      </c>
      <c r="J22" s="20">
        <v>6840</v>
      </c>
      <c r="K22" s="20">
        <v>6840</v>
      </c>
      <c r="L22" s="20">
        <v>6840</v>
      </c>
      <c r="M22" s="20">
        <v>6840</v>
      </c>
      <c r="N22" s="20">
        <v>6840</v>
      </c>
      <c r="O22" s="20">
        <v>6840</v>
      </c>
      <c r="P22" s="20">
        <v>6840</v>
      </c>
    </row>
    <row r="23" spans="1:16" outlineLevel="1" x14ac:dyDescent="0.3">
      <c r="A23" s="19" t="s">
        <v>36</v>
      </c>
      <c r="B23" s="47" t="s">
        <v>36</v>
      </c>
      <c r="C23" s="48">
        <v>5103131</v>
      </c>
      <c r="D23" s="20">
        <f t="shared" si="2"/>
        <v>3240000</v>
      </c>
      <c r="E23" s="20">
        <v>270000</v>
      </c>
      <c r="F23" s="20">
        <v>270000</v>
      </c>
      <c r="G23" s="20">
        <v>270000</v>
      </c>
      <c r="H23" s="20">
        <v>270000</v>
      </c>
      <c r="I23" s="20">
        <v>270000</v>
      </c>
      <c r="J23" s="20">
        <v>270000</v>
      </c>
      <c r="K23" s="20">
        <v>270000</v>
      </c>
      <c r="L23" s="20">
        <v>270000</v>
      </c>
      <c r="M23" s="20">
        <v>270000</v>
      </c>
      <c r="N23" s="20">
        <v>270000</v>
      </c>
      <c r="O23" s="20">
        <v>270000</v>
      </c>
      <c r="P23" s="20">
        <v>270000</v>
      </c>
    </row>
    <row r="24" spans="1:16" x14ac:dyDescent="0.3">
      <c r="A24" s="15" t="s">
        <v>37</v>
      </c>
      <c r="B24" s="49" t="s">
        <v>3</v>
      </c>
      <c r="C24" s="50"/>
      <c r="D24" s="18">
        <f t="shared" ref="D24:P24" si="3">SUM(D25:D29)</f>
        <v>1800008</v>
      </c>
      <c r="E24" s="18">
        <f t="shared" si="3"/>
        <v>150000</v>
      </c>
      <c r="F24" s="18">
        <f t="shared" si="3"/>
        <v>150000</v>
      </c>
      <c r="G24" s="18">
        <f t="shared" si="3"/>
        <v>150002</v>
      </c>
      <c r="H24" s="28">
        <f t="shared" si="3"/>
        <v>150000</v>
      </c>
      <c r="I24" s="18">
        <f t="shared" si="3"/>
        <v>150000</v>
      </c>
      <c r="J24" s="18">
        <f t="shared" si="3"/>
        <v>150002</v>
      </c>
      <c r="K24" s="18">
        <f t="shared" si="3"/>
        <v>150000</v>
      </c>
      <c r="L24" s="18">
        <f t="shared" si="3"/>
        <v>150000</v>
      </c>
      <c r="M24" s="18">
        <f t="shared" si="3"/>
        <v>150002</v>
      </c>
      <c r="N24" s="18">
        <f t="shared" si="3"/>
        <v>150000</v>
      </c>
      <c r="O24" s="28">
        <f t="shared" si="3"/>
        <v>150000</v>
      </c>
      <c r="P24" s="18">
        <f t="shared" si="3"/>
        <v>150002</v>
      </c>
    </row>
    <row r="25" spans="1:16" outlineLevel="1" x14ac:dyDescent="0.3">
      <c r="A25" s="19" t="s">
        <v>38</v>
      </c>
      <c r="B25" s="47" t="s">
        <v>39</v>
      </c>
      <c r="C25" s="48">
        <v>5104110</v>
      </c>
      <c r="D25" s="20">
        <f>SUM(E25:P25)</f>
        <v>4</v>
      </c>
      <c r="E25" s="20">
        <v>0</v>
      </c>
      <c r="F25" s="20">
        <v>0</v>
      </c>
      <c r="G25" s="20">
        <v>1</v>
      </c>
      <c r="H25" s="31">
        <v>0</v>
      </c>
      <c r="I25" s="20">
        <v>0</v>
      </c>
      <c r="J25" s="20">
        <v>1</v>
      </c>
      <c r="K25" s="20">
        <v>0</v>
      </c>
      <c r="L25" s="20">
        <v>0</v>
      </c>
      <c r="M25" s="20">
        <v>1</v>
      </c>
      <c r="N25" s="20">
        <v>0</v>
      </c>
      <c r="O25" s="31">
        <v>0</v>
      </c>
      <c r="P25" s="20">
        <v>1</v>
      </c>
    </row>
    <row r="26" spans="1:16" outlineLevel="1" x14ac:dyDescent="0.3">
      <c r="A26" s="19" t="s">
        <v>40</v>
      </c>
      <c r="B26" s="47" t="s">
        <v>41</v>
      </c>
      <c r="C26" s="48">
        <v>5104120</v>
      </c>
      <c r="D26" s="20">
        <f>SUM(E26:P26)</f>
        <v>1200000</v>
      </c>
      <c r="E26" s="20">
        <v>100000</v>
      </c>
      <c r="F26" s="20">
        <v>100000</v>
      </c>
      <c r="G26" s="20">
        <v>100000</v>
      </c>
      <c r="H26" s="20">
        <v>100000</v>
      </c>
      <c r="I26" s="20">
        <v>100000</v>
      </c>
      <c r="J26" s="20">
        <v>100000</v>
      </c>
      <c r="K26" s="20">
        <v>100000</v>
      </c>
      <c r="L26" s="20">
        <v>100000</v>
      </c>
      <c r="M26" s="20">
        <v>100000</v>
      </c>
      <c r="N26" s="20">
        <v>100000</v>
      </c>
      <c r="O26" s="31">
        <v>100000</v>
      </c>
      <c r="P26" s="20">
        <v>100000</v>
      </c>
    </row>
    <row r="27" spans="1:16" outlineLevel="1" x14ac:dyDescent="0.3">
      <c r="A27" s="19" t="s">
        <v>42</v>
      </c>
      <c r="B27" s="47" t="s">
        <v>43</v>
      </c>
      <c r="C27" s="48">
        <v>5104130</v>
      </c>
      <c r="D27" s="20">
        <f>SUM(E27:P27)</f>
        <v>600000</v>
      </c>
      <c r="E27" s="20">
        <v>50000</v>
      </c>
      <c r="F27" s="20">
        <v>50000</v>
      </c>
      <c r="G27" s="20">
        <v>50000</v>
      </c>
      <c r="H27" s="20">
        <v>50000</v>
      </c>
      <c r="I27" s="20">
        <v>50000</v>
      </c>
      <c r="J27" s="20">
        <v>50000</v>
      </c>
      <c r="K27" s="20">
        <v>50000</v>
      </c>
      <c r="L27" s="20">
        <v>50000</v>
      </c>
      <c r="M27" s="20">
        <v>50000</v>
      </c>
      <c r="N27" s="20">
        <v>50000</v>
      </c>
      <c r="O27" s="31">
        <v>50000</v>
      </c>
      <c r="P27" s="20">
        <v>50000</v>
      </c>
    </row>
    <row r="28" spans="1:16" outlineLevel="1" x14ac:dyDescent="0.3">
      <c r="A28" s="19" t="s">
        <v>44</v>
      </c>
      <c r="B28" s="47" t="s">
        <v>45</v>
      </c>
      <c r="C28" s="48">
        <v>5104140</v>
      </c>
      <c r="D28" s="20">
        <f>SUM(E28:P28)</f>
        <v>0</v>
      </c>
      <c r="E28" s="20">
        <v>0</v>
      </c>
      <c r="F28" s="20">
        <v>0</v>
      </c>
      <c r="G28" s="20">
        <v>0</v>
      </c>
      <c r="H28" s="31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31">
        <v>0</v>
      </c>
      <c r="P28" s="20">
        <v>0</v>
      </c>
    </row>
    <row r="29" spans="1:16" outlineLevel="1" x14ac:dyDescent="0.3">
      <c r="A29" s="19" t="s">
        <v>46</v>
      </c>
      <c r="B29" s="47" t="s">
        <v>46</v>
      </c>
      <c r="C29" s="48">
        <v>5104150</v>
      </c>
      <c r="D29" s="20">
        <f>SUM(E29:P29)</f>
        <v>4</v>
      </c>
      <c r="E29" s="20">
        <v>0</v>
      </c>
      <c r="F29" s="20">
        <v>0</v>
      </c>
      <c r="G29" s="20">
        <v>1</v>
      </c>
      <c r="H29" s="31">
        <v>0</v>
      </c>
      <c r="I29" s="20">
        <v>0</v>
      </c>
      <c r="J29" s="20">
        <v>1</v>
      </c>
      <c r="K29" s="20">
        <v>0</v>
      </c>
      <c r="L29" s="20">
        <v>0</v>
      </c>
      <c r="M29" s="20">
        <v>1</v>
      </c>
      <c r="N29" s="20">
        <v>0</v>
      </c>
      <c r="O29" s="31">
        <v>0</v>
      </c>
      <c r="P29" s="20">
        <v>1</v>
      </c>
    </row>
    <row r="30" spans="1:16" x14ac:dyDescent="0.3">
      <c r="A30" s="15" t="s">
        <v>47</v>
      </c>
      <c r="B30" s="49" t="s">
        <v>3</v>
      </c>
      <c r="C30" s="50"/>
      <c r="D30" s="18">
        <f t="shared" ref="D30:P30" si="4">SUM(D31:D37)</f>
        <v>0</v>
      </c>
      <c r="E30" s="18">
        <f t="shared" si="4"/>
        <v>0</v>
      </c>
      <c r="F30" s="18">
        <f t="shared" si="4"/>
        <v>0</v>
      </c>
      <c r="G30" s="18">
        <f t="shared" si="4"/>
        <v>0</v>
      </c>
      <c r="H30" s="28">
        <f t="shared" si="4"/>
        <v>0</v>
      </c>
      <c r="I30" s="18">
        <f t="shared" si="4"/>
        <v>0</v>
      </c>
      <c r="J30" s="18">
        <f t="shared" si="4"/>
        <v>0</v>
      </c>
      <c r="K30" s="18">
        <f t="shared" si="4"/>
        <v>0</v>
      </c>
      <c r="L30" s="28">
        <f t="shared" si="4"/>
        <v>0</v>
      </c>
      <c r="M30" s="18">
        <f t="shared" si="4"/>
        <v>0</v>
      </c>
      <c r="N30" s="18">
        <f t="shared" si="4"/>
        <v>0</v>
      </c>
      <c r="O30" s="28">
        <f t="shared" si="4"/>
        <v>0</v>
      </c>
      <c r="P30" s="18">
        <f t="shared" si="4"/>
        <v>0</v>
      </c>
    </row>
    <row r="31" spans="1:16" outlineLevel="1" x14ac:dyDescent="0.3">
      <c r="A31" s="19" t="s">
        <v>48</v>
      </c>
      <c r="B31" s="47" t="s">
        <v>49</v>
      </c>
      <c r="C31" s="48">
        <v>5105160</v>
      </c>
      <c r="D31" s="20">
        <f t="shared" ref="D31:D37" si="5">SUM(E31:P31)</f>
        <v>0</v>
      </c>
      <c r="E31" s="20"/>
      <c r="F31" s="20"/>
      <c r="G31" s="20"/>
      <c r="H31" s="20"/>
      <c r="I31" s="20"/>
      <c r="J31" s="20"/>
      <c r="K31" s="20"/>
      <c r="L31" s="31"/>
      <c r="M31" s="20"/>
      <c r="N31" s="20"/>
      <c r="O31" s="31"/>
      <c r="P31" s="20"/>
    </row>
    <row r="32" spans="1:16" outlineLevel="1" x14ac:dyDescent="0.3">
      <c r="A32" s="19" t="s">
        <v>50</v>
      </c>
      <c r="B32" s="47" t="s">
        <v>49</v>
      </c>
      <c r="C32" s="48">
        <v>5105150</v>
      </c>
      <c r="D32" s="20">
        <f t="shared" si="5"/>
        <v>0</v>
      </c>
      <c r="E32" s="20"/>
      <c r="F32" s="20"/>
      <c r="G32" s="20"/>
      <c r="H32" s="20"/>
      <c r="I32" s="20"/>
      <c r="J32" s="20"/>
      <c r="K32" s="20"/>
      <c r="L32" s="31"/>
      <c r="M32" s="20"/>
      <c r="N32" s="20"/>
      <c r="O32" s="31"/>
      <c r="P32" s="20"/>
    </row>
    <row r="33" spans="1:16" outlineLevel="1" x14ac:dyDescent="0.3">
      <c r="A33" s="19" t="s">
        <v>51</v>
      </c>
      <c r="B33" s="47" t="s">
        <v>52</v>
      </c>
      <c r="C33" s="48">
        <v>5105140</v>
      </c>
      <c r="D33" s="20">
        <f t="shared" si="5"/>
        <v>0</v>
      </c>
      <c r="E33" s="20"/>
      <c r="F33" s="20"/>
      <c r="G33" s="20"/>
      <c r="H33" s="20"/>
      <c r="I33" s="20"/>
      <c r="J33" s="20"/>
      <c r="K33" s="20"/>
      <c r="L33" s="31"/>
      <c r="M33" s="20"/>
      <c r="N33" s="20"/>
      <c r="O33" s="31"/>
      <c r="P33" s="20"/>
    </row>
    <row r="34" spans="1:16" outlineLevel="1" x14ac:dyDescent="0.3">
      <c r="A34" s="19" t="s">
        <v>53</v>
      </c>
      <c r="B34" s="47" t="s">
        <v>49</v>
      </c>
      <c r="C34" s="48">
        <v>5105130</v>
      </c>
      <c r="D34" s="20">
        <f t="shared" si="5"/>
        <v>0</v>
      </c>
      <c r="E34" s="20"/>
      <c r="F34" s="20"/>
      <c r="G34" s="20"/>
      <c r="H34" s="20"/>
      <c r="I34" s="20"/>
      <c r="J34" s="20"/>
      <c r="K34" s="20"/>
      <c r="L34" s="31"/>
      <c r="M34" s="20"/>
      <c r="N34" s="20"/>
      <c r="O34" s="31"/>
      <c r="P34" s="20"/>
    </row>
    <row r="35" spans="1:16" outlineLevel="1" x14ac:dyDescent="0.3">
      <c r="A35" s="19" t="s">
        <v>54</v>
      </c>
      <c r="B35" s="47" t="s">
        <v>49</v>
      </c>
      <c r="C35" s="48">
        <v>5105120</v>
      </c>
      <c r="D35" s="20">
        <f t="shared" si="5"/>
        <v>0</v>
      </c>
      <c r="E35" s="20"/>
      <c r="F35" s="20"/>
      <c r="G35" s="20"/>
      <c r="H35" s="20"/>
      <c r="I35" s="20"/>
      <c r="J35" s="20"/>
      <c r="K35" s="20"/>
      <c r="L35" s="31"/>
      <c r="M35" s="20"/>
      <c r="N35" s="20"/>
      <c r="O35" s="31"/>
      <c r="P35" s="20"/>
    </row>
    <row r="36" spans="1:16" outlineLevel="1" x14ac:dyDescent="0.3">
      <c r="A36" s="19" t="s">
        <v>55</v>
      </c>
      <c r="B36" s="47" t="s">
        <v>49</v>
      </c>
      <c r="C36" s="48">
        <v>5105110</v>
      </c>
      <c r="D36" s="20">
        <f t="shared" si="5"/>
        <v>0</v>
      </c>
      <c r="E36" s="20"/>
      <c r="F36" s="20"/>
      <c r="G36" s="20"/>
      <c r="H36" s="20"/>
      <c r="I36" s="20"/>
      <c r="J36" s="20"/>
      <c r="K36" s="20"/>
      <c r="L36" s="31"/>
      <c r="M36" s="20"/>
      <c r="N36" s="20"/>
      <c r="O36" s="31"/>
      <c r="P36" s="20"/>
    </row>
    <row r="37" spans="1:16" outlineLevel="1" x14ac:dyDescent="0.3">
      <c r="A37" s="19" t="s">
        <v>56</v>
      </c>
      <c r="B37" s="47" t="s">
        <v>49</v>
      </c>
      <c r="C37" s="48">
        <v>5105111</v>
      </c>
      <c r="D37" s="20">
        <f t="shared" si="5"/>
        <v>0</v>
      </c>
      <c r="E37" s="20"/>
      <c r="F37" s="20"/>
      <c r="G37" s="20"/>
      <c r="H37" s="20"/>
      <c r="I37" s="20"/>
      <c r="J37" s="20"/>
      <c r="K37" s="20"/>
      <c r="L37" s="31"/>
      <c r="M37" s="20"/>
      <c r="N37" s="20"/>
      <c r="O37" s="31"/>
      <c r="P37" s="20"/>
    </row>
    <row r="38" spans="1:16" x14ac:dyDescent="0.3">
      <c r="A38" s="15" t="s">
        <v>57</v>
      </c>
      <c r="B38" s="49" t="s">
        <v>3</v>
      </c>
      <c r="C38" s="50"/>
      <c r="D38" s="18">
        <f t="shared" ref="D38:P38" si="6">SUM(D39:D45)</f>
        <v>0</v>
      </c>
      <c r="E38" s="18">
        <f t="shared" si="6"/>
        <v>0</v>
      </c>
      <c r="F38" s="18">
        <f t="shared" si="6"/>
        <v>0</v>
      </c>
      <c r="G38" s="18">
        <f t="shared" si="6"/>
        <v>0</v>
      </c>
      <c r="H38" s="18">
        <f t="shared" si="6"/>
        <v>0</v>
      </c>
      <c r="I38" s="18">
        <f t="shared" si="6"/>
        <v>0</v>
      </c>
      <c r="J38" s="18">
        <f t="shared" si="6"/>
        <v>0</v>
      </c>
      <c r="K38" s="18">
        <f t="shared" si="6"/>
        <v>0</v>
      </c>
      <c r="L38" s="28">
        <f t="shared" si="6"/>
        <v>0</v>
      </c>
      <c r="M38" s="18">
        <f t="shared" si="6"/>
        <v>0</v>
      </c>
      <c r="N38" s="18">
        <f t="shared" si="6"/>
        <v>0</v>
      </c>
      <c r="O38" s="28">
        <f t="shared" si="6"/>
        <v>0</v>
      </c>
      <c r="P38" s="18">
        <f t="shared" si="6"/>
        <v>0</v>
      </c>
    </row>
    <row r="39" spans="1:16" outlineLevel="1" x14ac:dyDescent="0.3">
      <c r="A39" s="19" t="s">
        <v>58</v>
      </c>
      <c r="B39" s="47" t="s">
        <v>59</v>
      </c>
      <c r="C39" s="48">
        <v>5106110</v>
      </c>
      <c r="D39" s="20">
        <f t="shared" ref="D39:D45" si="7">SUM(E39:P39)</f>
        <v>0</v>
      </c>
      <c r="E39" s="20">
        <v>0</v>
      </c>
      <c r="F39" s="20">
        <v>0</v>
      </c>
      <c r="G39" s="20">
        <v>0</v>
      </c>
      <c r="H39" s="31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31">
        <v>0</v>
      </c>
      <c r="P39" s="20"/>
    </row>
    <row r="40" spans="1:16" outlineLevel="1" x14ac:dyDescent="0.3">
      <c r="A40" s="19" t="s">
        <v>60</v>
      </c>
      <c r="B40" s="47" t="s">
        <v>59</v>
      </c>
      <c r="C40" s="48">
        <v>5106120</v>
      </c>
      <c r="D40" s="20">
        <f t="shared" si="7"/>
        <v>0</v>
      </c>
      <c r="E40" s="20">
        <v>0</v>
      </c>
      <c r="F40" s="20">
        <v>0</v>
      </c>
      <c r="G40" s="20">
        <v>0</v>
      </c>
      <c r="H40" s="31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31">
        <v>0</v>
      </c>
      <c r="P40" s="20"/>
    </row>
    <row r="41" spans="1:16" outlineLevel="1" x14ac:dyDescent="0.3">
      <c r="A41" s="19" t="s">
        <v>61</v>
      </c>
      <c r="B41" s="47" t="s">
        <v>59</v>
      </c>
      <c r="C41" s="48">
        <v>5106130</v>
      </c>
      <c r="D41" s="20">
        <f t="shared" si="7"/>
        <v>0</v>
      </c>
      <c r="E41" s="20">
        <v>0</v>
      </c>
      <c r="F41" s="20">
        <v>0</v>
      </c>
      <c r="G41" s="20">
        <v>0</v>
      </c>
      <c r="H41" s="31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31">
        <v>0</v>
      </c>
      <c r="P41" s="20"/>
    </row>
    <row r="42" spans="1:16" outlineLevel="1" x14ac:dyDescent="0.3">
      <c r="A42" s="19" t="s">
        <v>62</v>
      </c>
      <c r="B42" s="47" t="s">
        <v>3</v>
      </c>
      <c r="C42" s="48">
        <v>5106140</v>
      </c>
      <c r="D42" s="20">
        <f t="shared" si="7"/>
        <v>0</v>
      </c>
      <c r="E42" s="20">
        <v>0</v>
      </c>
      <c r="F42" s="20">
        <v>0</v>
      </c>
      <c r="G42" s="20">
        <v>0</v>
      </c>
      <c r="H42" s="31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31">
        <v>0</v>
      </c>
      <c r="P42" s="20"/>
    </row>
    <row r="43" spans="1:16" outlineLevel="1" x14ac:dyDescent="0.3">
      <c r="A43" s="19" t="s">
        <v>63</v>
      </c>
      <c r="B43" s="47" t="s">
        <v>59</v>
      </c>
      <c r="C43" s="48">
        <v>5106150</v>
      </c>
      <c r="D43" s="20">
        <f t="shared" si="7"/>
        <v>0</v>
      </c>
      <c r="E43" s="20">
        <v>0</v>
      </c>
      <c r="F43" s="20">
        <v>0</v>
      </c>
      <c r="G43" s="20">
        <v>0</v>
      </c>
      <c r="H43" s="31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31">
        <v>0</v>
      </c>
      <c r="P43" s="20"/>
    </row>
    <row r="44" spans="1:16" outlineLevel="1" x14ac:dyDescent="0.3">
      <c r="A44" s="19" t="s">
        <v>64</v>
      </c>
      <c r="B44" s="47" t="s">
        <v>3</v>
      </c>
      <c r="C44" s="48">
        <v>5106160</v>
      </c>
      <c r="D44" s="20">
        <f t="shared" si="7"/>
        <v>0</v>
      </c>
      <c r="E44" s="20">
        <v>0</v>
      </c>
      <c r="F44" s="20">
        <v>0</v>
      </c>
      <c r="G44" s="20">
        <v>0</v>
      </c>
      <c r="H44" s="31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31">
        <v>0</v>
      </c>
      <c r="P44" s="20"/>
    </row>
    <row r="45" spans="1:16" outlineLevel="1" x14ac:dyDescent="0.3">
      <c r="A45" s="19" t="s">
        <v>65</v>
      </c>
      <c r="B45" s="47" t="s">
        <v>59</v>
      </c>
      <c r="C45" s="48">
        <v>5106141</v>
      </c>
      <c r="D45" s="20">
        <f t="shared" si="7"/>
        <v>0</v>
      </c>
      <c r="E45" s="20">
        <v>0</v>
      </c>
      <c r="F45" s="20">
        <v>0</v>
      </c>
      <c r="G45" s="20">
        <v>0</v>
      </c>
      <c r="H45" s="31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31">
        <v>0</v>
      </c>
      <c r="P45" s="20"/>
    </row>
    <row r="46" spans="1:16" x14ac:dyDescent="0.3">
      <c r="A46" s="15" t="s">
        <v>66</v>
      </c>
      <c r="B46" s="49" t="s">
        <v>3</v>
      </c>
      <c r="C46" s="50"/>
      <c r="D46" s="18">
        <f t="shared" ref="D46:P46" si="8">SUM(D47:D56)</f>
        <v>0</v>
      </c>
      <c r="E46" s="18">
        <f t="shared" si="8"/>
        <v>0</v>
      </c>
      <c r="F46" s="18">
        <f t="shared" si="8"/>
        <v>0</v>
      </c>
      <c r="G46" s="18">
        <f t="shared" si="8"/>
        <v>0</v>
      </c>
      <c r="H46" s="18">
        <f t="shared" si="8"/>
        <v>0</v>
      </c>
      <c r="I46" s="18">
        <f t="shared" si="8"/>
        <v>0</v>
      </c>
      <c r="J46" s="18">
        <f t="shared" si="8"/>
        <v>0</v>
      </c>
      <c r="K46" s="18">
        <f t="shared" si="8"/>
        <v>0</v>
      </c>
      <c r="L46" s="18">
        <f t="shared" si="8"/>
        <v>0</v>
      </c>
      <c r="M46" s="18">
        <f t="shared" si="8"/>
        <v>0</v>
      </c>
      <c r="N46" s="18">
        <f t="shared" si="8"/>
        <v>0</v>
      </c>
      <c r="O46" s="18">
        <f t="shared" si="8"/>
        <v>0</v>
      </c>
      <c r="P46" s="18">
        <f t="shared" si="8"/>
        <v>0</v>
      </c>
    </row>
    <row r="47" spans="1:16" outlineLevel="1" x14ac:dyDescent="0.3">
      <c r="A47" s="19" t="s">
        <v>67</v>
      </c>
      <c r="B47" s="47" t="s">
        <v>68</v>
      </c>
      <c r="C47" s="48">
        <v>5107110</v>
      </c>
      <c r="D47" s="20">
        <f t="shared" ref="D47:D56" si="9">SUM(E47:P47)</f>
        <v>0</v>
      </c>
      <c r="E47" s="20">
        <v>0</v>
      </c>
      <c r="F47" s="20">
        <v>0</v>
      </c>
      <c r="G47" s="20">
        <v>0</v>
      </c>
      <c r="H47" s="31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31">
        <v>0</v>
      </c>
      <c r="P47" s="20"/>
    </row>
    <row r="48" spans="1:16" outlineLevel="1" x14ac:dyDescent="0.3">
      <c r="A48" s="19" t="s">
        <v>69</v>
      </c>
      <c r="B48" s="47" t="s">
        <v>68</v>
      </c>
      <c r="C48" s="48">
        <v>5107130</v>
      </c>
      <c r="D48" s="20">
        <f t="shared" si="9"/>
        <v>0</v>
      </c>
      <c r="E48" s="20">
        <v>0</v>
      </c>
      <c r="F48" s="20">
        <v>0</v>
      </c>
      <c r="G48" s="20">
        <v>0</v>
      </c>
      <c r="H48" s="31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31">
        <v>0</v>
      </c>
      <c r="P48" s="20"/>
    </row>
    <row r="49" spans="1:16" outlineLevel="1" x14ac:dyDescent="0.3">
      <c r="A49" s="22" t="s">
        <v>70</v>
      </c>
      <c r="B49" s="47" t="s">
        <v>68</v>
      </c>
      <c r="C49" s="48">
        <v>5107120</v>
      </c>
      <c r="D49" s="20">
        <f t="shared" si="9"/>
        <v>0</v>
      </c>
      <c r="E49" s="20">
        <v>0</v>
      </c>
      <c r="F49" s="20">
        <v>0</v>
      </c>
      <c r="G49" s="20">
        <v>0</v>
      </c>
      <c r="H49" s="31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31">
        <v>0</v>
      </c>
      <c r="P49" s="20"/>
    </row>
    <row r="50" spans="1:16" outlineLevel="1" x14ac:dyDescent="0.3">
      <c r="A50" s="19" t="s">
        <v>71</v>
      </c>
      <c r="B50" s="47" t="s">
        <v>68</v>
      </c>
      <c r="C50" s="48">
        <v>5107140</v>
      </c>
      <c r="D50" s="20">
        <f t="shared" si="9"/>
        <v>0</v>
      </c>
      <c r="E50" s="20">
        <v>0</v>
      </c>
      <c r="F50" s="20">
        <v>0</v>
      </c>
      <c r="G50" s="20">
        <v>0</v>
      </c>
      <c r="H50" s="31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31">
        <v>0</v>
      </c>
      <c r="P50" s="20"/>
    </row>
    <row r="51" spans="1:16" outlineLevel="1" x14ac:dyDescent="0.3">
      <c r="A51" s="19" t="s">
        <v>72</v>
      </c>
      <c r="B51" s="47" t="s">
        <v>68</v>
      </c>
      <c r="C51" s="48">
        <v>5107150</v>
      </c>
      <c r="D51" s="20">
        <f t="shared" si="9"/>
        <v>0</v>
      </c>
      <c r="E51" s="20">
        <v>0</v>
      </c>
      <c r="F51" s="20">
        <v>0</v>
      </c>
      <c r="G51" s="20">
        <v>0</v>
      </c>
      <c r="H51" s="31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31">
        <v>0</v>
      </c>
      <c r="P51" s="20"/>
    </row>
    <row r="52" spans="1:16" outlineLevel="1" x14ac:dyDescent="0.3">
      <c r="A52" s="19" t="s">
        <v>73</v>
      </c>
      <c r="B52" s="47" t="s">
        <v>68</v>
      </c>
      <c r="C52" s="48">
        <v>5107160</v>
      </c>
      <c r="D52" s="20">
        <f t="shared" si="9"/>
        <v>0</v>
      </c>
      <c r="E52" s="20">
        <v>0</v>
      </c>
      <c r="F52" s="20">
        <v>0</v>
      </c>
      <c r="G52" s="20">
        <v>0</v>
      </c>
      <c r="H52" s="31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31">
        <v>0</v>
      </c>
      <c r="P52" s="20"/>
    </row>
    <row r="53" spans="1:16" outlineLevel="1" x14ac:dyDescent="0.3">
      <c r="A53" s="19" t="s">
        <v>74</v>
      </c>
      <c r="B53" s="47" t="s">
        <v>68</v>
      </c>
      <c r="C53" s="48">
        <v>5107170</v>
      </c>
      <c r="D53" s="20">
        <f t="shared" si="9"/>
        <v>0</v>
      </c>
      <c r="E53" s="20">
        <v>0</v>
      </c>
      <c r="F53" s="20">
        <v>0</v>
      </c>
      <c r="G53" s="20">
        <v>0</v>
      </c>
      <c r="H53" s="31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31">
        <v>0</v>
      </c>
      <c r="P53" s="20"/>
    </row>
    <row r="54" spans="1:16" outlineLevel="1" x14ac:dyDescent="0.3">
      <c r="A54" s="19" t="s">
        <v>75</v>
      </c>
      <c r="B54" s="47" t="s">
        <v>68</v>
      </c>
      <c r="C54" s="48">
        <v>5107180</v>
      </c>
      <c r="D54" s="20">
        <f t="shared" si="9"/>
        <v>0</v>
      </c>
      <c r="E54" s="20">
        <v>0</v>
      </c>
      <c r="F54" s="20">
        <v>0</v>
      </c>
      <c r="G54" s="20">
        <v>0</v>
      </c>
      <c r="H54" s="31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31">
        <v>0</v>
      </c>
      <c r="P54" s="20"/>
    </row>
    <row r="55" spans="1:16" outlineLevel="1" x14ac:dyDescent="0.3">
      <c r="A55" s="40" t="s">
        <v>76</v>
      </c>
      <c r="B55" s="47" t="s">
        <v>77</v>
      </c>
      <c r="C55" s="48">
        <v>5107190</v>
      </c>
      <c r="D55" s="20">
        <f t="shared" si="9"/>
        <v>0</v>
      </c>
      <c r="E55" s="20">
        <v>0</v>
      </c>
      <c r="F55" s="20">
        <v>0</v>
      </c>
      <c r="G55" s="20">
        <v>0</v>
      </c>
      <c r="H55" s="31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31">
        <v>0</v>
      </c>
      <c r="P55" s="20"/>
    </row>
    <row r="56" spans="1:16" outlineLevel="1" x14ac:dyDescent="0.3">
      <c r="A56" s="19" t="s">
        <v>78</v>
      </c>
      <c r="B56" s="47" t="s">
        <v>79</v>
      </c>
      <c r="C56" s="48">
        <v>5107210</v>
      </c>
      <c r="D56" s="20">
        <f t="shared" si="9"/>
        <v>0</v>
      </c>
      <c r="E56" s="20">
        <v>0</v>
      </c>
      <c r="F56" s="20">
        <v>0</v>
      </c>
      <c r="G56" s="20">
        <v>0</v>
      </c>
      <c r="H56" s="31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31">
        <v>0</v>
      </c>
      <c r="P56" s="20"/>
    </row>
    <row r="57" spans="1:16" x14ac:dyDescent="0.3">
      <c r="A57" s="15" t="s">
        <v>80</v>
      </c>
      <c r="B57" s="49" t="s">
        <v>3</v>
      </c>
      <c r="C57" s="50"/>
      <c r="D57" s="18">
        <f t="shared" ref="D57:P57" si="10">SUM(D58:D65)</f>
        <v>0</v>
      </c>
      <c r="E57" s="18">
        <f t="shared" si="10"/>
        <v>0</v>
      </c>
      <c r="F57" s="18">
        <f t="shared" si="10"/>
        <v>0</v>
      </c>
      <c r="G57" s="18">
        <f t="shared" si="10"/>
        <v>0</v>
      </c>
      <c r="H57" s="18">
        <f t="shared" si="10"/>
        <v>0</v>
      </c>
      <c r="I57" s="18">
        <f t="shared" si="10"/>
        <v>0</v>
      </c>
      <c r="J57" s="18">
        <f t="shared" si="10"/>
        <v>0</v>
      </c>
      <c r="K57" s="18">
        <f t="shared" si="10"/>
        <v>0</v>
      </c>
      <c r="L57" s="18">
        <f t="shared" si="10"/>
        <v>0</v>
      </c>
      <c r="M57" s="18">
        <f t="shared" si="10"/>
        <v>0</v>
      </c>
      <c r="N57" s="18">
        <f t="shared" si="10"/>
        <v>0</v>
      </c>
      <c r="O57" s="18">
        <f t="shared" si="10"/>
        <v>0</v>
      </c>
      <c r="P57" s="18">
        <f t="shared" si="10"/>
        <v>0</v>
      </c>
    </row>
    <row r="58" spans="1:16" outlineLevel="1" x14ac:dyDescent="0.3">
      <c r="A58" s="19" t="s">
        <v>81</v>
      </c>
      <c r="B58" s="47" t="s">
        <v>82</v>
      </c>
      <c r="C58" s="48">
        <v>5108110</v>
      </c>
      <c r="D58" s="20">
        <f t="shared" ref="D58:D65" si="11">SUM(E58:P58)</f>
        <v>0</v>
      </c>
      <c r="E58" s="20">
        <v>0</v>
      </c>
      <c r="F58" s="20">
        <v>0</v>
      </c>
      <c r="G58" s="20">
        <v>0</v>
      </c>
      <c r="H58" s="31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31">
        <v>0</v>
      </c>
      <c r="P58" s="20"/>
    </row>
    <row r="59" spans="1:16" outlineLevel="1" x14ac:dyDescent="0.3">
      <c r="A59" s="19" t="s">
        <v>83</v>
      </c>
      <c r="B59" s="47" t="s">
        <v>82</v>
      </c>
      <c r="C59" s="48">
        <v>5108120</v>
      </c>
      <c r="D59" s="20">
        <f t="shared" si="11"/>
        <v>0</v>
      </c>
      <c r="E59" s="20">
        <v>0</v>
      </c>
      <c r="F59" s="20">
        <v>0</v>
      </c>
      <c r="G59" s="20">
        <v>0</v>
      </c>
      <c r="H59" s="31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31">
        <v>0</v>
      </c>
      <c r="P59" s="20"/>
    </row>
    <row r="60" spans="1:16" outlineLevel="1" x14ac:dyDescent="0.3">
      <c r="A60" s="19" t="s">
        <v>84</v>
      </c>
      <c r="B60" s="47" t="s">
        <v>82</v>
      </c>
      <c r="C60" s="48">
        <v>5108130</v>
      </c>
      <c r="D60" s="20">
        <f t="shared" si="11"/>
        <v>0</v>
      </c>
      <c r="E60" s="20">
        <v>0</v>
      </c>
      <c r="F60" s="20">
        <v>0</v>
      </c>
      <c r="G60" s="20">
        <v>0</v>
      </c>
      <c r="H60" s="31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31">
        <v>0</v>
      </c>
      <c r="P60" s="20"/>
    </row>
    <row r="61" spans="1:16" outlineLevel="1" x14ac:dyDescent="0.3">
      <c r="A61" s="19" t="s">
        <v>85</v>
      </c>
      <c r="B61" s="47" t="s">
        <v>82</v>
      </c>
      <c r="C61" s="48">
        <v>5108140</v>
      </c>
      <c r="D61" s="20">
        <f t="shared" si="11"/>
        <v>0</v>
      </c>
      <c r="E61" s="20">
        <v>0</v>
      </c>
      <c r="F61" s="20">
        <v>0</v>
      </c>
      <c r="G61" s="20">
        <v>0</v>
      </c>
      <c r="H61" s="31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31">
        <v>0</v>
      </c>
      <c r="P61" s="20"/>
    </row>
    <row r="62" spans="1:16" outlineLevel="1" x14ac:dyDescent="0.3">
      <c r="A62" s="19" t="s">
        <v>86</v>
      </c>
      <c r="B62" s="47" t="s">
        <v>87</v>
      </c>
      <c r="C62" s="48">
        <v>5108150</v>
      </c>
      <c r="D62" s="20">
        <f t="shared" si="11"/>
        <v>0</v>
      </c>
      <c r="E62" s="20">
        <v>0</v>
      </c>
      <c r="F62" s="20">
        <v>0</v>
      </c>
      <c r="G62" s="20">
        <v>0</v>
      </c>
      <c r="H62" s="31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31">
        <v>0</v>
      </c>
      <c r="P62" s="20"/>
    </row>
    <row r="63" spans="1:16" outlineLevel="1" x14ac:dyDescent="0.3">
      <c r="A63" s="19" t="s">
        <v>88</v>
      </c>
      <c r="B63" s="47" t="s">
        <v>82</v>
      </c>
      <c r="C63" s="48">
        <v>5108160</v>
      </c>
      <c r="D63" s="20">
        <f t="shared" si="11"/>
        <v>0</v>
      </c>
      <c r="E63" s="20">
        <v>0</v>
      </c>
      <c r="F63" s="20">
        <v>0</v>
      </c>
      <c r="G63" s="20">
        <v>0</v>
      </c>
      <c r="H63" s="31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31">
        <v>0</v>
      </c>
      <c r="P63" s="20"/>
    </row>
    <row r="64" spans="1:16" outlineLevel="1" x14ac:dyDescent="0.3">
      <c r="A64" s="19" t="s">
        <v>89</v>
      </c>
      <c r="B64" s="47" t="s">
        <v>89</v>
      </c>
      <c r="C64" s="48">
        <v>5108161</v>
      </c>
      <c r="D64" s="20">
        <f t="shared" si="11"/>
        <v>0</v>
      </c>
      <c r="E64" s="20">
        <v>0</v>
      </c>
      <c r="F64" s="20">
        <v>0</v>
      </c>
      <c r="G64" s="20">
        <v>0</v>
      </c>
      <c r="H64" s="31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31">
        <v>0</v>
      </c>
      <c r="P64" s="20"/>
    </row>
    <row r="65" spans="1:16" outlineLevel="1" x14ac:dyDescent="0.3">
      <c r="A65" s="19" t="s">
        <v>90</v>
      </c>
      <c r="B65" s="47" t="s">
        <v>90</v>
      </c>
      <c r="C65" s="48">
        <v>5108162</v>
      </c>
      <c r="D65" s="20">
        <f t="shared" si="11"/>
        <v>0</v>
      </c>
      <c r="E65" s="20">
        <v>0</v>
      </c>
      <c r="F65" s="20">
        <v>0</v>
      </c>
      <c r="G65" s="20">
        <v>0</v>
      </c>
      <c r="H65" s="31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31">
        <v>0</v>
      </c>
      <c r="P65" s="20"/>
    </row>
    <row r="66" spans="1:16" x14ac:dyDescent="0.3">
      <c r="A66" s="15" t="s">
        <v>91</v>
      </c>
      <c r="B66" s="49" t="s">
        <v>3</v>
      </c>
      <c r="C66" s="50"/>
      <c r="D66" s="18">
        <f t="shared" ref="D66:P66" si="12">SUM(D67:D77)</f>
        <v>48710160</v>
      </c>
      <c r="E66" s="18">
        <f t="shared" si="12"/>
        <v>4059180</v>
      </c>
      <c r="F66" s="18">
        <f t="shared" si="12"/>
        <v>4059180</v>
      </c>
      <c r="G66" s="18">
        <f t="shared" si="12"/>
        <v>4059180</v>
      </c>
      <c r="H66" s="18">
        <f t="shared" si="12"/>
        <v>4059180</v>
      </c>
      <c r="I66" s="18">
        <f t="shared" si="12"/>
        <v>4059180</v>
      </c>
      <c r="J66" s="18">
        <f t="shared" si="12"/>
        <v>4059180</v>
      </c>
      <c r="K66" s="18">
        <f t="shared" si="12"/>
        <v>4059180</v>
      </c>
      <c r="L66" s="18">
        <f t="shared" si="12"/>
        <v>4059180</v>
      </c>
      <c r="M66" s="18">
        <f t="shared" si="12"/>
        <v>4059180</v>
      </c>
      <c r="N66" s="18">
        <f t="shared" si="12"/>
        <v>4059180</v>
      </c>
      <c r="O66" s="18">
        <f t="shared" si="12"/>
        <v>4059180</v>
      </c>
      <c r="P66" s="18">
        <f t="shared" si="12"/>
        <v>4059180</v>
      </c>
    </row>
    <row r="67" spans="1:16" outlineLevel="1" x14ac:dyDescent="0.3">
      <c r="A67" s="19" t="s">
        <v>92</v>
      </c>
      <c r="B67" s="47" t="s">
        <v>93</v>
      </c>
      <c r="C67" s="48">
        <v>5109110</v>
      </c>
      <c r="D67" s="20">
        <f t="shared" ref="D67:D77" si="13">SUM(E67:P67)</f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</row>
    <row r="68" spans="1:16" outlineLevel="1" x14ac:dyDescent="0.3">
      <c r="A68" s="19" t="s">
        <v>94</v>
      </c>
      <c r="B68" s="47" t="s">
        <v>93</v>
      </c>
      <c r="C68" s="48">
        <v>5109120</v>
      </c>
      <c r="D68" s="20">
        <f t="shared" si="13"/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</row>
    <row r="69" spans="1:16" outlineLevel="1" x14ac:dyDescent="0.3">
      <c r="A69" s="19" t="s">
        <v>95</v>
      </c>
      <c r="B69" s="47" t="s">
        <v>93</v>
      </c>
      <c r="C69" s="48">
        <v>5109130</v>
      </c>
      <c r="D69" s="20">
        <f t="shared" si="13"/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</row>
    <row r="70" spans="1:16" outlineLevel="1" x14ac:dyDescent="0.3">
      <c r="A70" s="19" t="s">
        <v>96</v>
      </c>
      <c r="B70" s="47" t="s">
        <v>93</v>
      </c>
      <c r="C70" s="48">
        <v>5109140</v>
      </c>
      <c r="D70" s="20">
        <f t="shared" si="13"/>
        <v>48710160</v>
      </c>
      <c r="E70" s="20">
        <v>4059180</v>
      </c>
      <c r="F70" s="20">
        <v>4059180</v>
      </c>
      <c r="G70" s="20">
        <v>4059180</v>
      </c>
      <c r="H70" s="20">
        <v>4059180</v>
      </c>
      <c r="I70" s="20">
        <v>4059180</v>
      </c>
      <c r="J70" s="20">
        <v>4059180</v>
      </c>
      <c r="K70" s="20">
        <v>4059180</v>
      </c>
      <c r="L70" s="20">
        <v>4059180</v>
      </c>
      <c r="M70" s="20">
        <v>4059180</v>
      </c>
      <c r="N70" s="20">
        <v>4059180</v>
      </c>
      <c r="O70" s="20">
        <v>4059180</v>
      </c>
      <c r="P70" s="20">
        <v>4059180</v>
      </c>
    </row>
    <row r="71" spans="1:16" outlineLevel="1" x14ac:dyDescent="0.3">
      <c r="A71" s="19" t="s">
        <v>97</v>
      </c>
      <c r="B71" s="47" t="s">
        <v>93</v>
      </c>
      <c r="C71" s="48">
        <v>5109150</v>
      </c>
      <c r="D71" s="20">
        <f t="shared" si="13"/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</row>
    <row r="72" spans="1:16" outlineLevel="1" x14ac:dyDescent="0.3">
      <c r="A72" s="19" t="s">
        <v>98</v>
      </c>
      <c r="B72" s="47" t="s">
        <v>93</v>
      </c>
      <c r="C72" s="48">
        <v>5109160</v>
      </c>
      <c r="D72" s="20">
        <f t="shared" si="13"/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</row>
    <row r="73" spans="1:16" outlineLevel="1" x14ac:dyDescent="0.3">
      <c r="A73" s="19" t="s">
        <v>99</v>
      </c>
      <c r="B73" s="47" t="s">
        <v>93</v>
      </c>
      <c r="C73" s="48">
        <v>5109170</v>
      </c>
      <c r="D73" s="20">
        <f t="shared" si="13"/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</row>
    <row r="74" spans="1:16" outlineLevel="1" x14ac:dyDescent="0.3">
      <c r="A74" s="19" t="s">
        <v>100</v>
      </c>
      <c r="B74" s="47" t="s">
        <v>93</v>
      </c>
      <c r="C74" s="48">
        <v>5109180</v>
      </c>
      <c r="D74" s="20">
        <f t="shared" si="13"/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</row>
    <row r="75" spans="1:16" outlineLevel="1" x14ac:dyDescent="0.3">
      <c r="A75" s="19" t="s">
        <v>101</v>
      </c>
      <c r="B75" s="47" t="s">
        <v>93</v>
      </c>
      <c r="C75" s="48">
        <v>5109190</v>
      </c>
      <c r="D75" s="20">
        <f t="shared" si="13"/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</row>
    <row r="76" spans="1:16" outlineLevel="1" x14ac:dyDescent="0.3">
      <c r="A76" s="19" t="s">
        <v>102</v>
      </c>
      <c r="B76" s="47" t="s">
        <v>93</v>
      </c>
      <c r="C76" s="48">
        <v>5109210</v>
      </c>
      <c r="D76" s="20">
        <f t="shared" si="13"/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</row>
    <row r="77" spans="1:16" outlineLevel="1" x14ac:dyDescent="0.3">
      <c r="A77" s="19" t="s">
        <v>103</v>
      </c>
      <c r="B77" s="47" t="s">
        <v>93</v>
      </c>
      <c r="C77" s="48">
        <v>5109220</v>
      </c>
      <c r="D77" s="20">
        <f t="shared" si="13"/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</row>
    <row r="78" spans="1:16" x14ac:dyDescent="0.3">
      <c r="A78" s="15" t="s">
        <v>104</v>
      </c>
      <c r="B78" s="49" t="s">
        <v>3</v>
      </c>
      <c r="C78" s="50"/>
      <c r="D78" s="18">
        <f t="shared" ref="D78:P78" si="14">SUM(D79:D84)</f>
        <v>96046044</v>
      </c>
      <c r="E78" s="18">
        <f t="shared" si="14"/>
        <v>9830920</v>
      </c>
      <c r="F78" s="18">
        <f t="shared" si="14"/>
        <v>3858100</v>
      </c>
      <c r="G78" s="18">
        <f t="shared" si="14"/>
        <v>7966880</v>
      </c>
      <c r="H78" s="18">
        <f t="shared" si="14"/>
        <v>3503214</v>
      </c>
      <c r="I78" s="18">
        <f t="shared" si="14"/>
        <v>4094640</v>
      </c>
      <c r="J78" s="28">
        <f t="shared" si="14"/>
        <v>4121590</v>
      </c>
      <c r="K78" s="18">
        <f t="shared" si="14"/>
        <v>6737940</v>
      </c>
      <c r="L78" s="18">
        <f t="shared" si="14"/>
        <v>5477150</v>
      </c>
      <c r="M78" s="28">
        <f t="shared" si="14"/>
        <v>4996530</v>
      </c>
      <c r="N78" s="18">
        <f t="shared" si="14"/>
        <v>14064930</v>
      </c>
      <c r="O78" s="18">
        <f t="shared" si="14"/>
        <v>12652000</v>
      </c>
      <c r="P78" s="18">
        <f t="shared" si="14"/>
        <v>18742150</v>
      </c>
    </row>
    <row r="79" spans="1:16" outlineLevel="1" x14ac:dyDescent="0.3">
      <c r="A79" s="19" t="s">
        <v>105</v>
      </c>
      <c r="B79" s="47" t="s">
        <v>106</v>
      </c>
      <c r="C79" s="48">
        <v>5110110</v>
      </c>
      <c r="D79" s="20">
        <f t="shared" ref="D79:D84" si="15">SUM(E79:P79)</f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</row>
    <row r="80" spans="1:16" outlineLevel="1" x14ac:dyDescent="0.3">
      <c r="A80" s="19" t="s">
        <v>107</v>
      </c>
      <c r="B80" s="47" t="s">
        <v>106</v>
      </c>
      <c r="C80" s="48">
        <v>5110120</v>
      </c>
      <c r="D80" s="20">
        <f t="shared" si="15"/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</row>
    <row r="81" spans="1:16" outlineLevel="1" x14ac:dyDescent="0.3">
      <c r="A81" s="19" t="s">
        <v>108</v>
      </c>
      <c r="B81" s="47" t="s">
        <v>106</v>
      </c>
      <c r="C81" s="48">
        <v>5110130</v>
      </c>
      <c r="D81" s="20">
        <f t="shared" si="15"/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</row>
    <row r="82" spans="1:16" s="62" customFormat="1" outlineLevel="1" x14ac:dyDescent="0.3">
      <c r="A82" s="19" t="s">
        <v>109</v>
      </c>
      <c r="B82" s="51" t="s">
        <v>106</v>
      </c>
      <c r="C82" s="60">
        <v>5110140</v>
      </c>
      <c r="D82" s="61">
        <f t="shared" si="15"/>
        <v>96046044</v>
      </c>
      <c r="E82" s="61">
        <v>9830920</v>
      </c>
      <c r="F82" s="61">
        <v>3858100</v>
      </c>
      <c r="G82" s="61">
        <v>7966880</v>
      </c>
      <c r="H82" s="61">
        <v>3503214</v>
      </c>
      <c r="I82" s="61">
        <v>4094640</v>
      </c>
      <c r="J82" s="61">
        <v>4121590</v>
      </c>
      <c r="K82" s="61">
        <v>6737940</v>
      </c>
      <c r="L82" s="61">
        <v>5477150</v>
      </c>
      <c r="M82" s="61">
        <v>4996530</v>
      </c>
      <c r="N82" s="61">
        <v>14064930</v>
      </c>
      <c r="O82" s="61">
        <v>12652000</v>
      </c>
      <c r="P82" s="61">
        <v>18742150</v>
      </c>
    </row>
    <row r="83" spans="1:16" outlineLevel="1" x14ac:dyDescent="0.3">
      <c r="A83" s="19" t="s">
        <v>110</v>
      </c>
      <c r="B83" s="47" t="s">
        <v>111</v>
      </c>
      <c r="C83" s="48">
        <v>5110150</v>
      </c>
      <c r="D83" s="20">
        <f t="shared" si="15"/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</row>
    <row r="84" spans="1:16" outlineLevel="1" x14ac:dyDescent="0.3">
      <c r="A84" s="19" t="s">
        <v>112</v>
      </c>
      <c r="B84" s="47" t="s">
        <v>111</v>
      </c>
      <c r="C84" s="48" t="s">
        <v>113</v>
      </c>
      <c r="D84" s="20">
        <f t="shared" si="15"/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</row>
    <row r="85" spans="1:16" x14ac:dyDescent="0.3">
      <c r="A85" s="15" t="s">
        <v>114</v>
      </c>
      <c r="B85" s="49" t="s">
        <v>3</v>
      </c>
      <c r="C85" s="50"/>
      <c r="D85" s="18">
        <f t="shared" ref="D85:P85" si="16">SUM(D86:D92)</f>
        <v>0</v>
      </c>
      <c r="E85" s="18">
        <f t="shared" si="16"/>
        <v>0</v>
      </c>
      <c r="F85" s="18">
        <f t="shared" si="16"/>
        <v>0</v>
      </c>
      <c r="G85" s="18">
        <f t="shared" si="16"/>
        <v>0</v>
      </c>
      <c r="H85" s="18">
        <f t="shared" si="16"/>
        <v>0</v>
      </c>
      <c r="I85" s="18">
        <f t="shared" si="16"/>
        <v>0</v>
      </c>
      <c r="J85" s="18">
        <f t="shared" si="16"/>
        <v>0</v>
      </c>
      <c r="K85" s="18">
        <f t="shared" si="16"/>
        <v>0</v>
      </c>
      <c r="L85" s="18">
        <f t="shared" si="16"/>
        <v>0</v>
      </c>
      <c r="M85" s="18">
        <f t="shared" si="16"/>
        <v>0</v>
      </c>
      <c r="N85" s="18">
        <f t="shared" si="16"/>
        <v>0</v>
      </c>
      <c r="O85" s="18">
        <f t="shared" si="16"/>
        <v>0</v>
      </c>
      <c r="P85" s="18">
        <f t="shared" si="16"/>
        <v>0</v>
      </c>
    </row>
    <row r="86" spans="1:16" outlineLevel="1" x14ac:dyDescent="0.3">
      <c r="A86" s="19" t="s">
        <v>115</v>
      </c>
      <c r="B86" s="47" t="s">
        <v>116</v>
      </c>
      <c r="C86" s="48">
        <v>5111110</v>
      </c>
      <c r="D86" s="20">
        <f t="shared" ref="D86:D92" si="17">SUM(E86:P86)</f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</row>
    <row r="87" spans="1:16" outlineLevel="1" x14ac:dyDescent="0.3">
      <c r="A87" s="19" t="s">
        <v>117</v>
      </c>
      <c r="B87" s="47" t="s">
        <v>116</v>
      </c>
      <c r="C87" s="48">
        <v>5111120</v>
      </c>
      <c r="D87" s="20">
        <f t="shared" si="17"/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</row>
    <row r="88" spans="1:16" outlineLevel="1" x14ac:dyDescent="0.3">
      <c r="A88" s="19" t="s">
        <v>118</v>
      </c>
      <c r="B88" s="47" t="s">
        <v>116</v>
      </c>
      <c r="C88" s="48">
        <v>5111130</v>
      </c>
      <c r="D88" s="20">
        <f t="shared" si="17"/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</row>
    <row r="89" spans="1:16" outlineLevel="1" x14ac:dyDescent="0.3">
      <c r="A89" s="19" t="s">
        <v>119</v>
      </c>
      <c r="B89" s="47" t="s">
        <v>116</v>
      </c>
      <c r="C89" s="48">
        <v>5111140</v>
      </c>
      <c r="D89" s="20">
        <f t="shared" si="17"/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</row>
    <row r="90" spans="1:16" outlineLevel="1" x14ac:dyDescent="0.3">
      <c r="A90" s="19" t="s">
        <v>120</v>
      </c>
      <c r="B90" s="47" t="s">
        <v>116</v>
      </c>
      <c r="C90" s="48">
        <v>5111150</v>
      </c>
      <c r="D90" s="20">
        <f t="shared" si="17"/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</row>
    <row r="91" spans="1:16" outlineLevel="1" x14ac:dyDescent="0.3">
      <c r="A91" s="19" t="s">
        <v>121</v>
      </c>
      <c r="B91" s="47" t="s">
        <v>116</v>
      </c>
      <c r="C91" s="48">
        <v>5111160</v>
      </c>
      <c r="D91" s="20">
        <f t="shared" si="17"/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</row>
    <row r="92" spans="1:16" outlineLevel="1" x14ac:dyDescent="0.3">
      <c r="A92" s="19" t="s">
        <v>122</v>
      </c>
      <c r="B92" s="47" t="s">
        <v>116</v>
      </c>
      <c r="C92" s="48">
        <v>5111141</v>
      </c>
      <c r="D92" s="20">
        <f t="shared" si="17"/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</row>
    <row r="93" spans="1:16" x14ac:dyDescent="0.3">
      <c r="A93" s="15" t="s">
        <v>123</v>
      </c>
      <c r="B93" s="49" t="s">
        <v>3</v>
      </c>
      <c r="C93" s="50"/>
      <c r="D93" s="18">
        <f t="shared" ref="D93:P93" si="18">SUM(D94:D95)</f>
        <v>0</v>
      </c>
      <c r="E93" s="18">
        <f t="shared" si="18"/>
        <v>0</v>
      </c>
      <c r="F93" s="18">
        <f t="shared" si="18"/>
        <v>0</v>
      </c>
      <c r="G93" s="18">
        <f t="shared" si="18"/>
        <v>0</v>
      </c>
      <c r="H93" s="18">
        <f t="shared" si="18"/>
        <v>0</v>
      </c>
      <c r="I93" s="18">
        <f t="shared" si="18"/>
        <v>0</v>
      </c>
      <c r="J93" s="18">
        <f t="shared" si="18"/>
        <v>0</v>
      </c>
      <c r="K93" s="18">
        <f t="shared" si="18"/>
        <v>0</v>
      </c>
      <c r="L93" s="18">
        <f t="shared" si="18"/>
        <v>0</v>
      </c>
      <c r="M93" s="18">
        <f t="shared" si="18"/>
        <v>0</v>
      </c>
      <c r="N93" s="18">
        <f t="shared" si="18"/>
        <v>0</v>
      </c>
      <c r="O93" s="18">
        <f t="shared" si="18"/>
        <v>0</v>
      </c>
      <c r="P93" s="18">
        <f t="shared" si="18"/>
        <v>0</v>
      </c>
    </row>
    <row r="94" spans="1:16" outlineLevel="1" x14ac:dyDescent="0.3">
      <c r="A94" s="19" t="s">
        <v>124</v>
      </c>
      <c r="B94" s="47" t="s">
        <v>125</v>
      </c>
      <c r="C94" s="48">
        <v>5112110</v>
      </c>
      <c r="D94" s="20">
        <f>SUM(E94:P94)</f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</row>
    <row r="95" spans="1:16" outlineLevel="1" x14ac:dyDescent="0.3">
      <c r="A95" s="19" t="s">
        <v>126</v>
      </c>
      <c r="B95" s="47" t="s">
        <v>126</v>
      </c>
      <c r="C95" s="48">
        <v>5112120</v>
      </c>
      <c r="D95" s="20">
        <f>SUM(E95:P95)</f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</row>
    <row r="96" spans="1:16" x14ac:dyDescent="0.3">
      <c r="A96" s="15" t="s">
        <v>127</v>
      </c>
      <c r="B96" s="49" t="s">
        <v>3</v>
      </c>
      <c r="C96" s="50"/>
      <c r="D96" s="18">
        <f t="shared" ref="D96:P96" si="19">SUM(D97:D105)</f>
        <v>48700000</v>
      </c>
      <c r="E96" s="18">
        <f t="shared" si="19"/>
        <v>1300000</v>
      </c>
      <c r="F96" s="18">
        <f t="shared" si="19"/>
        <v>1300000</v>
      </c>
      <c r="G96" s="18">
        <f t="shared" si="19"/>
        <v>1300000</v>
      </c>
      <c r="H96" s="18">
        <f t="shared" si="19"/>
        <v>1400000</v>
      </c>
      <c r="I96" s="18">
        <f t="shared" si="19"/>
        <v>1300000</v>
      </c>
      <c r="J96" s="18">
        <f t="shared" si="19"/>
        <v>34200000</v>
      </c>
      <c r="K96" s="18">
        <f t="shared" si="19"/>
        <v>1450000</v>
      </c>
      <c r="L96" s="18">
        <f t="shared" si="19"/>
        <v>1350000</v>
      </c>
      <c r="M96" s="18">
        <f t="shared" si="19"/>
        <v>1300000</v>
      </c>
      <c r="N96" s="18">
        <f t="shared" si="19"/>
        <v>1400000</v>
      </c>
      <c r="O96" s="18">
        <f t="shared" si="19"/>
        <v>1300000</v>
      </c>
      <c r="P96" s="18">
        <f t="shared" si="19"/>
        <v>1100000</v>
      </c>
    </row>
    <row r="97" spans="1:16" outlineLevel="1" x14ac:dyDescent="0.3">
      <c r="A97" s="19" t="s">
        <v>128</v>
      </c>
      <c r="B97" s="47" t="s">
        <v>129</v>
      </c>
      <c r="C97" s="48">
        <v>5113110</v>
      </c>
      <c r="D97" s="20">
        <f t="shared" ref="D97:D105" si="20">SUM(E97:P97)</f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</row>
    <row r="98" spans="1:16" outlineLevel="1" x14ac:dyDescent="0.3">
      <c r="A98" s="19" t="s">
        <v>130</v>
      </c>
      <c r="B98" s="47" t="s">
        <v>131</v>
      </c>
      <c r="C98" s="48">
        <v>5113120</v>
      </c>
      <c r="D98" s="20">
        <f t="shared" si="20"/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</row>
    <row r="99" spans="1:16" outlineLevel="1" x14ac:dyDescent="0.3">
      <c r="A99" s="19" t="s">
        <v>132</v>
      </c>
      <c r="B99" s="47" t="s">
        <v>133</v>
      </c>
      <c r="C99" s="48">
        <v>5113130</v>
      </c>
      <c r="D99" s="20">
        <f t="shared" si="20"/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</row>
    <row r="100" spans="1:16" outlineLevel="1" x14ac:dyDescent="0.3">
      <c r="A100" s="19" t="s">
        <v>134</v>
      </c>
      <c r="B100" s="47" t="s">
        <v>133</v>
      </c>
      <c r="C100" s="48">
        <v>5113140</v>
      </c>
      <c r="D100" s="20">
        <f t="shared" si="20"/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</row>
    <row r="101" spans="1:16" outlineLevel="1" x14ac:dyDescent="0.3">
      <c r="A101" s="19" t="s">
        <v>135</v>
      </c>
      <c r="B101" s="47" t="s">
        <v>136</v>
      </c>
      <c r="C101" s="48">
        <v>5113150</v>
      </c>
      <c r="D101" s="20">
        <f t="shared" si="20"/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</row>
    <row r="102" spans="1:16" s="62" customFormat="1" outlineLevel="1" x14ac:dyDescent="0.3">
      <c r="A102" s="19" t="s">
        <v>137</v>
      </c>
      <c r="B102" s="51" t="s">
        <v>133</v>
      </c>
      <c r="C102" s="60"/>
      <c r="D102" s="61">
        <f t="shared" si="20"/>
        <v>48700000</v>
      </c>
      <c r="E102" s="61">
        <v>1300000</v>
      </c>
      <c r="F102" s="61">
        <v>1300000</v>
      </c>
      <c r="G102" s="61">
        <v>1300000</v>
      </c>
      <c r="H102" s="61">
        <v>1400000</v>
      </c>
      <c r="I102" s="61">
        <v>1300000</v>
      </c>
      <c r="J102" s="61">
        <v>34200000</v>
      </c>
      <c r="K102" s="61">
        <v>1450000</v>
      </c>
      <c r="L102" s="61">
        <v>1350000</v>
      </c>
      <c r="M102" s="61">
        <v>1300000</v>
      </c>
      <c r="N102" s="61">
        <v>1400000</v>
      </c>
      <c r="O102" s="61">
        <v>1300000</v>
      </c>
      <c r="P102" s="61">
        <v>1100000</v>
      </c>
    </row>
    <row r="103" spans="1:16" outlineLevel="1" x14ac:dyDescent="0.3">
      <c r="A103" s="19" t="s">
        <v>138</v>
      </c>
      <c r="B103" s="47" t="s">
        <v>133</v>
      </c>
      <c r="C103" s="48">
        <v>5113170</v>
      </c>
      <c r="D103" s="20">
        <f t="shared" si="20"/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</row>
    <row r="104" spans="1:16" outlineLevel="1" x14ac:dyDescent="0.3">
      <c r="A104" s="19" t="s">
        <v>139</v>
      </c>
      <c r="B104" s="47" t="s">
        <v>3</v>
      </c>
      <c r="C104" s="48">
        <v>5113210</v>
      </c>
      <c r="D104" s="20">
        <f t="shared" si="20"/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</row>
    <row r="105" spans="1:16" s="62" customFormat="1" outlineLevel="1" x14ac:dyDescent="0.3">
      <c r="A105" s="32" t="s">
        <v>222</v>
      </c>
      <c r="B105" s="51" t="s">
        <v>141</v>
      </c>
      <c r="C105" s="60">
        <v>5113160</v>
      </c>
      <c r="D105" s="61">
        <f t="shared" si="20"/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</row>
    <row r="106" spans="1:16" x14ac:dyDescent="0.3">
      <c r="A106" s="15" t="s">
        <v>142</v>
      </c>
      <c r="B106" s="49" t="s">
        <v>3</v>
      </c>
      <c r="C106" s="50"/>
      <c r="D106" s="18">
        <f t="shared" ref="D106:P106" si="21">D107</f>
        <v>0</v>
      </c>
      <c r="E106" s="18">
        <f t="shared" si="21"/>
        <v>0</v>
      </c>
      <c r="F106" s="18">
        <f t="shared" si="21"/>
        <v>0</v>
      </c>
      <c r="G106" s="18">
        <f t="shared" si="21"/>
        <v>0</v>
      </c>
      <c r="H106" s="18">
        <f t="shared" si="21"/>
        <v>0</v>
      </c>
      <c r="I106" s="18">
        <f t="shared" si="21"/>
        <v>0</v>
      </c>
      <c r="J106" s="18">
        <f t="shared" si="21"/>
        <v>0</v>
      </c>
      <c r="K106" s="18">
        <f t="shared" si="21"/>
        <v>0</v>
      </c>
      <c r="L106" s="18">
        <f t="shared" si="21"/>
        <v>0</v>
      </c>
      <c r="M106" s="18">
        <f t="shared" si="21"/>
        <v>0</v>
      </c>
      <c r="N106" s="18">
        <f t="shared" si="21"/>
        <v>0</v>
      </c>
      <c r="O106" s="18">
        <f t="shared" si="21"/>
        <v>0</v>
      </c>
      <c r="P106" s="18">
        <f t="shared" si="21"/>
        <v>0</v>
      </c>
    </row>
    <row r="107" spans="1:16" outlineLevel="1" x14ac:dyDescent="0.3">
      <c r="A107" s="19" t="s">
        <v>143</v>
      </c>
      <c r="B107" s="47" t="s">
        <v>144</v>
      </c>
      <c r="C107" s="48">
        <v>5115110</v>
      </c>
      <c r="D107" s="20">
        <f>SUM(E107:P107)</f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</row>
    <row r="108" spans="1:16" x14ac:dyDescent="0.3">
      <c r="A108" s="15" t="s">
        <v>145</v>
      </c>
      <c r="B108" s="49" t="s">
        <v>3</v>
      </c>
      <c r="C108" s="50"/>
      <c r="D108" s="18">
        <f t="shared" ref="D108:P108" si="22">SUM(D109:D115)</f>
        <v>0</v>
      </c>
      <c r="E108" s="18">
        <f t="shared" si="22"/>
        <v>0</v>
      </c>
      <c r="F108" s="18">
        <f t="shared" si="22"/>
        <v>0</v>
      </c>
      <c r="G108" s="18">
        <f t="shared" si="22"/>
        <v>0</v>
      </c>
      <c r="H108" s="18">
        <f t="shared" si="22"/>
        <v>0</v>
      </c>
      <c r="I108" s="18">
        <f t="shared" si="22"/>
        <v>0</v>
      </c>
      <c r="J108" s="18">
        <f t="shared" si="22"/>
        <v>0</v>
      </c>
      <c r="K108" s="18">
        <f t="shared" si="22"/>
        <v>0</v>
      </c>
      <c r="L108" s="18">
        <f t="shared" si="22"/>
        <v>0</v>
      </c>
      <c r="M108" s="18">
        <f t="shared" si="22"/>
        <v>0</v>
      </c>
      <c r="N108" s="18">
        <f t="shared" si="22"/>
        <v>0</v>
      </c>
      <c r="O108" s="18">
        <f t="shared" si="22"/>
        <v>0</v>
      </c>
      <c r="P108" s="18">
        <f t="shared" si="22"/>
        <v>0</v>
      </c>
    </row>
    <row r="109" spans="1:16" outlineLevel="1" x14ac:dyDescent="0.3">
      <c r="A109" s="19" t="s">
        <v>146</v>
      </c>
      <c r="B109" s="47" t="s">
        <v>147</v>
      </c>
      <c r="C109" s="48">
        <v>5116110</v>
      </c>
      <c r="D109" s="20">
        <f t="shared" ref="D109:D115" si="23">SUM(E109:P109)</f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</row>
    <row r="110" spans="1:16" outlineLevel="1" x14ac:dyDescent="0.3">
      <c r="A110" s="19" t="s">
        <v>148</v>
      </c>
      <c r="B110" s="47" t="s">
        <v>147</v>
      </c>
      <c r="C110" s="48">
        <v>5116120</v>
      </c>
      <c r="D110" s="20">
        <f t="shared" si="23"/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31">
        <v>0</v>
      </c>
      <c r="P110" s="20">
        <v>0</v>
      </c>
    </row>
    <row r="111" spans="1:16" outlineLevel="1" x14ac:dyDescent="0.3">
      <c r="A111" s="19" t="s">
        <v>149</v>
      </c>
      <c r="B111" s="47" t="s">
        <v>150</v>
      </c>
      <c r="C111" s="48">
        <v>5116130</v>
      </c>
      <c r="D111" s="20">
        <f t="shared" si="23"/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</row>
    <row r="112" spans="1:16" outlineLevel="1" x14ac:dyDescent="0.3">
      <c r="A112" s="19" t="s">
        <v>151</v>
      </c>
      <c r="B112" s="47" t="s">
        <v>147</v>
      </c>
      <c r="C112" s="48">
        <v>5116140</v>
      </c>
      <c r="D112" s="20">
        <f t="shared" si="23"/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</row>
    <row r="113" spans="1:16" outlineLevel="1" x14ac:dyDescent="0.3">
      <c r="A113" s="19" t="s">
        <v>152</v>
      </c>
      <c r="B113" s="47" t="s">
        <v>150</v>
      </c>
      <c r="C113" s="48">
        <v>5116150</v>
      </c>
      <c r="D113" s="20">
        <f t="shared" si="23"/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</row>
    <row r="114" spans="1:16" outlineLevel="1" x14ac:dyDescent="0.3">
      <c r="A114" s="19" t="s">
        <v>153</v>
      </c>
      <c r="B114" s="47" t="s">
        <v>147</v>
      </c>
      <c r="C114" s="48">
        <v>5116160</v>
      </c>
      <c r="D114" s="20">
        <f t="shared" si="23"/>
        <v>0</v>
      </c>
      <c r="E114" s="20">
        <v>0</v>
      </c>
      <c r="F114" s="20">
        <v>0</v>
      </c>
      <c r="G114" s="20">
        <v>0</v>
      </c>
      <c r="H114" s="20">
        <v>0</v>
      </c>
      <c r="I114" s="31">
        <v>0</v>
      </c>
      <c r="J114" s="20">
        <v>0</v>
      </c>
      <c r="K114" s="20">
        <v>0</v>
      </c>
      <c r="L114" s="20">
        <v>0</v>
      </c>
      <c r="M114" s="31">
        <v>0</v>
      </c>
      <c r="N114" s="20">
        <v>0</v>
      </c>
      <c r="O114" s="20">
        <v>0</v>
      </c>
      <c r="P114" s="20">
        <v>0</v>
      </c>
    </row>
    <row r="115" spans="1:16" outlineLevel="1" x14ac:dyDescent="0.3">
      <c r="A115" s="19" t="s">
        <v>154</v>
      </c>
      <c r="B115" s="47" t="s">
        <v>147</v>
      </c>
      <c r="C115" s="48">
        <v>5116111</v>
      </c>
      <c r="D115" s="20">
        <f t="shared" si="23"/>
        <v>0</v>
      </c>
      <c r="E115" s="20">
        <v>0</v>
      </c>
      <c r="F115" s="20">
        <v>0</v>
      </c>
      <c r="G115" s="20">
        <v>0</v>
      </c>
      <c r="H115" s="20">
        <v>0</v>
      </c>
      <c r="I115" s="31">
        <v>0</v>
      </c>
      <c r="J115" s="20">
        <v>0</v>
      </c>
      <c r="K115" s="20">
        <v>0</v>
      </c>
      <c r="L115" s="20">
        <v>0</v>
      </c>
      <c r="M115" s="31">
        <v>0</v>
      </c>
      <c r="N115" s="20">
        <v>0</v>
      </c>
      <c r="O115" s="20">
        <v>0</v>
      </c>
      <c r="P115" s="20">
        <v>0</v>
      </c>
    </row>
    <row r="116" spans="1:16" x14ac:dyDescent="0.3">
      <c r="A116" s="15" t="s">
        <v>155</v>
      </c>
      <c r="B116" s="49" t="s">
        <v>3</v>
      </c>
      <c r="C116" s="50"/>
      <c r="D116" s="18">
        <f t="shared" ref="D116:P116" si="24">D117</f>
        <v>0</v>
      </c>
      <c r="E116" s="18">
        <f t="shared" si="24"/>
        <v>0</v>
      </c>
      <c r="F116" s="18">
        <f t="shared" si="24"/>
        <v>0</v>
      </c>
      <c r="G116" s="18">
        <f t="shared" si="24"/>
        <v>0</v>
      </c>
      <c r="H116" s="18">
        <f t="shared" si="24"/>
        <v>0</v>
      </c>
      <c r="I116" s="28">
        <f t="shared" si="24"/>
        <v>0</v>
      </c>
      <c r="J116" s="18">
        <f t="shared" si="24"/>
        <v>0</v>
      </c>
      <c r="K116" s="18">
        <f t="shared" si="24"/>
        <v>0</v>
      </c>
      <c r="L116" s="18">
        <f t="shared" si="24"/>
        <v>0</v>
      </c>
      <c r="M116" s="28">
        <f t="shared" si="24"/>
        <v>0</v>
      </c>
      <c r="N116" s="18">
        <f t="shared" si="24"/>
        <v>0</v>
      </c>
      <c r="O116" s="18">
        <f t="shared" si="24"/>
        <v>0</v>
      </c>
      <c r="P116" s="18">
        <f t="shared" si="24"/>
        <v>0</v>
      </c>
    </row>
    <row r="117" spans="1:16" outlineLevel="1" x14ac:dyDescent="0.3">
      <c r="A117" s="19" t="s">
        <v>156</v>
      </c>
      <c r="B117" s="47" t="s">
        <v>157</v>
      </c>
      <c r="C117" s="48">
        <v>5117110</v>
      </c>
      <c r="D117" s="20">
        <f>SUM(E117:P117)</f>
        <v>0</v>
      </c>
      <c r="E117" s="20">
        <v>0</v>
      </c>
      <c r="F117" s="20">
        <v>0</v>
      </c>
      <c r="G117" s="20">
        <v>0</v>
      </c>
      <c r="H117" s="20">
        <v>0</v>
      </c>
      <c r="I117" s="31">
        <v>0</v>
      </c>
      <c r="J117" s="20">
        <v>0</v>
      </c>
      <c r="K117" s="20">
        <v>0</v>
      </c>
      <c r="L117" s="20">
        <v>0</v>
      </c>
      <c r="M117" s="31">
        <v>0</v>
      </c>
      <c r="N117" s="20">
        <v>0</v>
      </c>
      <c r="O117" s="20">
        <v>0</v>
      </c>
      <c r="P117" s="20">
        <v>0</v>
      </c>
    </row>
    <row r="118" spans="1:16" x14ac:dyDescent="0.3">
      <c r="A118" s="15" t="s">
        <v>158</v>
      </c>
      <c r="B118" s="49" t="s">
        <v>3</v>
      </c>
      <c r="C118" s="50"/>
      <c r="D118" s="18">
        <f t="shared" ref="D118:P118" si="25">SUM(D119:D123)</f>
        <v>3600000</v>
      </c>
      <c r="E118" s="18">
        <f t="shared" si="25"/>
        <v>300000</v>
      </c>
      <c r="F118" s="18">
        <f t="shared" si="25"/>
        <v>300000</v>
      </c>
      <c r="G118" s="28">
        <f t="shared" si="25"/>
        <v>300000</v>
      </c>
      <c r="H118" s="18">
        <f t="shared" si="25"/>
        <v>300000</v>
      </c>
      <c r="I118" s="63">
        <f t="shared" si="25"/>
        <v>300000</v>
      </c>
      <c r="J118" s="18">
        <f t="shared" si="25"/>
        <v>300000</v>
      </c>
      <c r="K118" s="18">
        <f t="shared" si="25"/>
        <v>300000</v>
      </c>
      <c r="L118" s="18">
        <f t="shared" si="25"/>
        <v>300000</v>
      </c>
      <c r="M118" s="28">
        <f t="shared" si="25"/>
        <v>300000</v>
      </c>
      <c r="N118" s="18">
        <f t="shared" si="25"/>
        <v>300000</v>
      </c>
      <c r="O118" s="18">
        <f t="shared" si="25"/>
        <v>300000</v>
      </c>
      <c r="P118" s="18">
        <f t="shared" si="25"/>
        <v>300000</v>
      </c>
    </row>
    <row r="119" spans="1:16" outlineLevel="1" x14ac:dyDescent="0.3">
      <c r="A119" s="19" t="s">
        <v>159</v>
      </c>
      <c r="B119" s="47" t="s">
        <v>160</v>
      </c>
      <c r="C119" s="48">
        <v>5118110</v>
      </c>
      <c r="D119" s="20">
        <f>SUM(E119:P119)</f>
        <v>0</v>
      </c>
      <c r="E119" s="20">
        <v>0</v>
      </c>
      <c r="F119" s="20">
        <v>0</v>
      </c>
      <c r="G119" s="31">
        <v>0</v>
      </c>
      <c r="H119" s="20">
        <v>0</v>
      </c>
      <c r="I119" s="59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</row>
    <row r="120" spans="1:16" outlineLevel="1" x14ac:dyDescent="0.3">
      <c r="A120" s="19" t="s">
        <v>161</v>
      </c>
      <c r="B120" s="47" t="s">
        <v>162</v>
      </c>
      <c r="C120" s="48">
        <v>5118120</v>
      </c>
      <c r="D120" s="20">
        <f>SUM(E120:P120)</f>
        <v>0</v>
      </c>
      <c r="E120" s="20">
        <v>0</v>
      </c>
      <c r="F120" s="20">
        <v>0</v>
      </c>
      <c r="G120" s="31">
        <v>0</v>
      </c>
      <c r="H120" s="20">
        <v>0</v>
      </c>
      <c r="I120" s="59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</row>
    <row r="121" spans="1:16" outlineLevel="1" x14ac:dyDescent="0.3">
      <c r="A121" s="19" t="s">
        <v>163</v>
      </c>
      <c r="B121" s="47" t="s">
        <v>164</v>
      </c>
      <c r="C121" s="48">
        <v>5118130</v>
      </c>
      <c r="D121" s="20">
        <f>SUM(E121:P121)</f>
        <v>3600000</v>
      </c>
      <c r="E121" s="20">
        <v>300000</v>
      </c>
      <c r="F121" s="20">
        <v>300000</v>
      </c>
      <c r="G121" s="20">
        <v>300000</v>
      </c>
      <c r="H121" s="20">
        <v>300000</v>
      </c>
      <c r="I121" s="20">
        <v>300000</v>
      </c>
      <c r="J121" s="20">
        <v>300000</v>
      </c>
      <c r="K121" s="20">
        <v>300000</v>
      </c>
      <c r="L121" s="20">
        <v>300000</v>
      </c>
      <c r="M121" s="20">
        <v>300000</v>
      </c>
      <c r="N121" s="20">
        <v>300000</v>
      </c>
      <c r="O121" s="20">
        <v>300000</v>
      </c>
      <c r="P121" s="20">
        <v>300000</v>
      </c>
    </row>
    <row r="122" spans="1:16" outlineLevel="1" x14ac:dyDescent="0.3">
      <c r="A122" s="19" t="s">
        <v>165</v>
      </c>
      <c r="B122" s="47" t="s">
        <v>3</v>
      </c>
      <c r="C122" s="48">
        <v>5118140</v>
      </c>
      <c r="D122" s="20">
        <f>SUM(E122:P122)</f>
        <v>0</v>
      </c>
      <c r="E122" s="20">
        <v>0</v>
      </c>
      <c r="F122" s="20">
        <v>0</v>
      </c>
      <c r="G122" s="20">
        <v>0</v>
      </c>
      <c r="H122" s="20">
        <v>0</v>
      </c>
      <c r="I122" s="29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</row>
    <row r="123" spans="1:16" outlineLevel="1" x14ac:dyDescent="0.3">
      <c r="A123" s="19" t="s">
        <v>166</v>
      </c>
      <c r="B123" s="47" t="s">
        <v>3</v>
      </c>
      <c r="C123" s="48">
        <v>5118150</v>
      </c>
      <c r="D123" s="20">
        <f>SUM(E123:P123)</f>
        <v>0</v>
      </c>
      <c r="E123" s="20">
        <v>0</v>
      </c>
      <c r="F123" s="20">
        <v>0</v>
      </c>
      <c r="G123" s="20">
        <v>0</v>
      </c>
      <c r="H123" s="20">
        <v>0</v>
      </c>
      <c r="I123" s="29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</row>
    <row r="124" spans="1:16" x14ac:dyDescent="0.3">
      <c r="A124" s="15" t="s">
        <v>167</v>
      </c>
      <c r="B124" s="49" t="s">
        <v>3</v>
      </c>
      <c r="C124" s="50"/>
      <c r="D124" s="18">
        <f t="shared" ref="D124:P124" si="26">SUM(D125:D126)</f>
        <v>864000</v>
      </c>
      <c r="E124" s="18">
        <f t="shared" si="26"/>
        <v>72000</v>
      </c>
      <c r="F124" s="18">
        <f t="shared" si="26"/>
        <v>72000</v>
      </c>
      <c r="G124" s="18">
        <f t="shared" si="26"/>
        <v>72000</v>
      </c>
      <c r="H124" s="18">
        <f t="shared" si="26"/>
        <v>72000</v>
      </c>
      <c r="I124" s="27">
        <f t="shared" si="26"/>
        <v>72000</v>
      </c>
      <c r="J124" s="18">
        <f t="shared" si="26"/>
        <v>72000</v>
      </c>
      <c r="K124" s="18">
        <f t="shared" si="26"/>
        <v>72000</v>
      </c>
      <c r="L124" s="18">
        <f t="shared" si="26"/>
        <v>72000</v>
      </c>
      <c r="M124" s="18">
        <f t="shared" si="26"/>
        <v>72000</v>
      </c>
      <c r="N124" s="18">
        <f t="shared" si="26"/>
        <v>72000</v>
      </c>
      <c r="O124" s="18">
        <f t="shared" si="26"/>
        <v>72000</v>
      </c>
      <c r="P124" s="18">
        <f t="shared" si="26"/>
        <v>72000</v>
      </c>
    </row>
    <row r="125" spans="1:16" outlineLevel="1" x14ac:dyDescent="0.3">
      <c r="A125" s="19" t="s">
        <v>168</v>
      </c>
      <c r="B125" s="47" t="s">
        <v>169</v>
      </c>
      <c r="C125" s="48">
        <v>5130110</v>
      </c>
      <c r="D125" s="20">
        <f>SUM(E125:P125)</f>
        <v>0</v>
      </c>
      <c r="E125" s="20">
        <v>0</v>
      </c>
      <c r="F125" s="20">
        <v>0</v>
      </c>
      <c r="G125" s="20">
        <v>0</v>
      </c>
      <c r="H125" s="20">
        <v>0</v>
      </c>
      <c r="I125" s="29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</row>
    <row r="126" spans="1:16" outlineLevel="1" x14ac:dyDescent="0.3">
      <c r="A126" s="19" t="s">
        <v>170</v>
      </c>
      <c r="B126" s="47" t="s">
        <v>171</v>
      </c>
      <c r="C126" s="48">
        <v>5130120</v>
      </c>
      <c r="D126" s="20">
        <f>SUM(E126:P126)</f>
        <v>864000</v>
      </c>
      <c r="E126" s="20">
        <v>72000</v>
      </c>
      <c r="F126" s="20">
        <v>72000</v>
      </c>
      <c r="G126" s="20">
        <v>72000</v>
      </c>
      <c r="H126" s="20">
        <v>72000</v>
      </c>
      <c r="I126" s="20">
        <v>72000</v>
      </c>
      <c r="J126" s="20">
        <v>72000</v>
      </c>
      <c r="K126" s="20">
        <v>72000</v>
      </c>
      <c r="L126" s="20">
        <v>72000</v>
      </c>
      <c r="M126" s="20">
        <v>72000</v>
      </c>
      <c r="N126" s="20">
        <v>72000</v>
      </c>
      <c r="O126" s="20">
        <v>72000</v>
      </c>
      <c r="P126" s="20">
        <v>72000</v>
      </c>
    </row>
    <row r="127" spans="1:16" x14ac:dyDescent="0.3">
      <c r="A127" s="15" t="s">
        <v>172</v>
      </c>
      <c r="B127" s="49" t="s">
        <v>3</v>
      </c>
      <c r="C127" s="50"/>
      <c r="D127" s="18">
        <f t="shared" ref="D127:P127" si="27">SUM(D128:D135)</f>
        <v>2400000</v>
      </c>
      <c r="E127" s="18">
        <f t="shared" si="27"/>
        <v>200000</v>
      </c>
      <c r="F127" s="18">
        <f t="shared" si="27"/>
        <v>200000</v>
      </c>
      <c r="G127" s="18">
        <f t="shared" si="27"/>
        <v>200000</v>
      </c>
      <c r="H127" s="18">
        <f t="shared" si="27"/>
        <v>200000</v>
      </c>
      <c r="I127" s="27">
        <f t="shared" si="27"/>
        <v>200000</v>
      </c>
      <c r="J127" s="18">
        <f t="shared" si="27"/>
        <v>200000</v>
      </c>
      <c r="K127" s="18">
        <f t="shared" si="27"/>
        <v>200000</v>
      </c>
      <c r="L127" s="18">
        <f t="shared" si="27"/>
        <v>200000</v>
      </c>
      <c r="M127" s="18">
        <f t="shared" si="27"/>
        <v>200000</v>
      </c>
      <c r="N127" s="18">
        <f t="shared" si="27"/>
        <v>200000</v>
      </c>
      <c r="O127" s="18">
        <f t="shared" si="27"/>
        <v>200000</v>
      </c>
      <c r="P127" s="18">
        <f t="shared" si="27"/>
        <v>200000</v>
      </c>
    </row>
    <row r="128" spans="1:16" outlineLevel="1" x14ac:dyDescent="0.3">
      <c r="A128" s="19" t="s">
        <v>173</v>
      </c>
      <c r="B128" s="47" t="s">
        <v>174</v>
      </c>
      <c r="C128" s="48">
        <v>5119110</v>
      </c>
      <c r="D128" s="20">
        <f t="shared" ref="D128:D135" si="28">SUM(E128:P128)</f>
        <v>1200000</v>
      </c>
      <c r="E128" s="20">
        <v>100000</v>
      </c>
      <c r="F128" s="20">
        <v>100000</v>
      </c>
      <c r="G128" s="20">
        <v>100000</v>
      </c>
      <c r="H128" s="20">
        <v>100000</v>
      </c>
      <c r="I128" s="20">
        <v>100000</v>
      </c>
      <c r="J128" s="20">
        <v>100000</v>
      </c>
      <c r="K128" s="20">
        <v>100000</v>
      </c>
      <c r="L128" s="20">
        <v>100000</v>
      </c>
      <c r="M128" s="20">
        <v>100000</v>
      </c>
      <c r="N128" s="20">
        <v>100000</v>
      </c>
      <c r="O128" s="20">
        <v>100000</v>
      </c>
      <c r="P128" s="20">
        <v>100000</v>
      </c>
    </row>
    <row r="129" spans="1:16" outlineLevel="1" x14ac:dyDescent="0.3">
      <c r="A129" s="19" t="s">
        <v>175</v>
      </c>
      <c r="B129" s="47" t="s">
        <v>176</v>
      </c>
      <c r="C129" s="48">
        <v>5119120</v>
      </c>
      <c r="D129" s="20">
        <f t="shared" si="28"/>
        <v>0</v>
      </c>
      <c r="E129" s="20">
        <v>0</v>
      </c>
      <c r="F129" s="20">
        <v>0</v>
      </c>
      <c r="G129" s="20">
        <v>0</v>
      </c>
      <c r="H129" s="20">
        <v>0</v>
      </c>
      <c r="I129" s="29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</row>
    <row r="130" spans="1:16" outlineLevel="1" x14ac:dyDescent="0.3">
      <c r="A130" s="19" t="s">
        <v>177</v>
      </c>
      <c r="B130" s="47" t="s">
        <v>178</v>
      </c>
      <c r="C130" s="48">
        <v>5119130</v>
      </c>
      <c r="D130" s="20">
        <f t="shared" si="28"/>
        <v>0</v>
      </c>
      <c r="E130" s="20">
        <v>0</v>
      </c>
      <c r="F130" s="20">
        <v>0</v>
      </c>
      <c r="G130" s="20">
        <v>0</v>
      </c>
      <c r="H130" s="20">
        <v>0</v>
      </c>
      <c r="I130" s="29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</row>
    <row r="131" spans="1:16" outlineLevel="1" x14ac:dyDescent="0.3">
      <c r="A131" s="19" t="s">
        <v>179</v>
      </c>
      <c r="B131" s="47" t="s">
        <v>180</v>
      </c>
      <c r="C131" s="48">
        <v>5119140</v>
      </c>
      <c r="D131" s="20">
        <f t="shared" si="28"/>
        <v>0</v>
      </c>
      <c r="E131" s="20">
        <v>0</v>
      </c>
      <c r="F131" s="20">
        <v>0</v>
      </c>
      <c r="G131" s="20">
        <v>0</v>
      </c>
      <c r="H131" s="20">
        <v>0</v>
      </c>
      <c r="I131" s="29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</row>
    <row r="132" spans="1:16" outlineLevel="1" x14ac:dyDescent="0.3">
      <c r="A132" s="19" t="s">
        <v>181</v>
      </c>
      <c r="B132" s="47" t="s">
        <v>182</v>
      </c>
      <c r="C132" s="48">
        <v>5119150</v>
      </c>
      <c r="D132" s="20">
        <f t="shared" si="28"/>
        <v>1200000</v>
      </c>
      <c r="E132" s="20">
        <v>100000</v>
      </c>
      <c r="F132" s="20">
        <v>100000</v>
      </c>
      <c r="G132" s="20">
        <v>100000</v>
      </c>
      <c r="H132" s="20">
        <v>100000</v>
      </c>
      <c r="I132" s="20">
        <v>100000</v>
      </c>
      <c r="J132" s="20">
        <v>100000</v>
      </c>
      <c r="K132" s="20">
        <v>100000</v>
      </c>
      <c r="L132" s="20">
        <v>100000</v>
      </c>
      <c r="M132" s="20">
        <v>100000</v>
      </c>
      <c r="N132" s="20">
        <v>100000</v>
      </c>
      <c r="O132" s="20">
        <v>100000</v>
      </c>
      <c r="P132" s="20">
        <v>100000</v>
      </c>
    </row>
    <row r="133" spans="1:16" outlineLevel="1" x14ac:dyDescent="0.3">
      <c r="A133" s="19" t="s">
        <v>183</v>
      </c>
      <c r="B133" s="47" t="s">
        <v>184</v>
      </c>
      <c r="C133" s="48">
        <v>5119160</v>
      </c>
      <c r="D133" s="20">
        <f t="shared" si="28"/>
        <v>0</v>
      </c>
      <c r="E133" s="20">
        <v>0</v>
      </c>
      <c r="F133" s="20">
        <v>0</v>
      </c>
      <c r="G133" s="20">
        <v>0</v>
      </c>
      <c r="H133" s="20">
        <v>0</v>
      </c>
      <c r="I133" s="29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</row>
    <row r="134" spans="1:16" outlineLevel="1" x14ac:dyDescent="0.3">
      <c r="A134" s="19" t="s">
        <v>185</v>
      </c>
      <c r="B134" s="47" t="s">
        <v>185</v>
      </c>
      <c r="C134" s="48">
        <v>5119121</v>
      </c>
      <c r="D134" s="20">
        <f t="shared" si="28"/>
        <v>0</v>
      </c>
      <c r="E134" s="20">
        <v>0</v>
      </c>
      <c r="F134" s="20">
        <v>0</v>
      </c>
      <c r="G134" s="20">
        <v>0</v>
      </c>
      <c r="H134" s="20">
        <v>0</v>
      </c>
      <c r="I134" s="29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</row>
    <row r="135" spans="1:16" outlineLevel="1" x14ac:dyDescent="0.3">
      <c r="A135" s="19" t="s">
        <v>186</v>
      </c>
      <c r="B135" s="51" t="s">
        <v>187</v>
      </c>
      <c r="C135" s="48">
        <v>5119151</v>
      </c>
      <c r="D135" s="20">
        <f t="shared" si="28"/>
        <v>0</v>
      </c>
      <c r="E135" s="20">
        <v>0</v>
      </c>
      <c r="F135" s="20">
        <v>0</v>
      </c>
      <c r="G135" s="20">
        <v>0</v>
      </c>
      <c r="H135" s="20">
        <v>0</v>
      </c>
      <c r="I135" s="29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</row>
    <row r="136" spans="1:16" x14ac:dyDescent="0.3">
      <c r="A136" s="15" t="s">
        <v>188</v>
      </c>
      <c r="B136" s="49" t="s">
        <v>3</v>
      </c>
      <c r="C136" s="50"/>
      <c r="D136" s="18">
        <f t="shared" ref="D136:P136" si="29">SUM(D137:D140)</f>
        <v>6000000</v>
      </c>
      <c r="E136" s="18">
        <f t="shared" si="29"/>
        <v>500000</v>
      </c>
      <c r="F136" s="18">
        <f t="shared" si="29"/>
        <v>500000</v>
      </c>
      <c r="G136" s="18">
        <f t="shared" si="29"/>
        <v>500000</v>
      </c>
      <c r="H136" s="18">
        <f t="shared" si="29"/>
        <v>500000</v>
      </c>
      <c r="I136" s="27">
        <f t="shared" si="29"/>
        <v>500000</v>
      </c>
      <c r="J136" s="18">
        <f t="shared" si="29"/>
        <v>500000</v>
      </c>
      <c r="K136" s="18">
        <f t="shared" si="29"/>
        <v>500000</v>
      </c>
      <c r="L136" s="18">
        <f t="shared" si="29"/>
        <v>500000</v>
      </c>
      <c r="M136" s="18">
        <f t="shared" si="29"/>
        <v>500000</v>
      </c>
      <c r="N136" s="18">
        <f t="shared" si="29"/>
        <v>500000</v>
      </c>
      <c r="O136" s="18">
        <f t="shared" si="29"/>
        <v>500000</v>
      </c>
      <c r="P136" s="18">
        <f t="shared" si="29"/>
        <v>500000</v>
      </c>
    </row>
    <row r="137" spans="1:16" outlineLevel="1" x14ac:dyDescent="0.3">
      <c r="A137" s="19" t="s">
        <v>189</v>
      </c>
      <c r="B137" s="47" t="s">
        <v>190</v>
      </c>
      <c r="C137" s="48">
        <v>5120110</v>
      </c>
      <c r="D137" s="20">
        <f>SUM(E137:P137)</f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</row>
    <row r="138" spans="1:16" outlineLevel="1" x14ac:dyDescent="0.3">
      <c r="A138" s="22" t="s">
        <v>191</v>
      </c>
      <c r="B138" s="47" t="s">
        <v>190</v>
      </c>
      <c r="C138" s="48">
        <v>5120140</v>
      </c>
      <c r="D138" s="20">
        <f>SUM(E138:P138)</f>
        <v>0</v>
      </c>
      <c r="E138" s="20">
        <v>0</v>
      </c>
      <c r="F138" s="20">
        <v>0</v>
      </c>
      <c r="G138" s="20">
        <v>0</v>
      </c>
      <c r="H138" s="20">
        <v>0</v>
      </c>
      <c r="I138" s="29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</row>
    <row r="139" spans="1:16" outlineLevel="1" x14ac:dyDescent="0.3">
      <c r="A139" s="22" t="s">
        <v>192</v>
      </c>
      <c r="B139" s="47" t="s">
        <v>190</v>
      </c>
      <c r="C139" s="48">
        <v>5120130</v>
      </c>
      <c r="D139" s="20">
        <f>SUM(E139:P139)</f>
        <v>0</v>
      </c>
      <c r="E139" s="20">
        <v>0</v>
      </c>
      <c r="F139" s="20">
        <v>0</v>
      </c>
      <c r="G139" s="20">
        <v>0</v>
      </c>
      <c r="H139" s="20">
        <v>0</v>
      </c>
      <c r="I139" s="29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</row>
    <row r="140" spans="1:16" s="62" customFormat="1" outlineLevel="1" x14ac:dyDescent="0.3">
      <c r="A140" s="22" t="s">
        <v>193</v>
      </c>
      <c r="B140" s="51" t="s">
        <v>190</v>
      </c>
      <c r="C140" s="60">
        <v>5120120</v>
      </c>
      <c r="D140" s="61">
        <f>SUM(E140:P140)</f>
        <v>6000000</v>
      </c>
      <c r="E140" s="61">
        <v>500000</v>
      </c>
      <c r="F140" s="61">
        <v>500000</v>
      </c>
      <c r="G140" s="61">
        <v>500000</v>
      </c>
      <c r="H140" s="61">
        <v>500000</v>
      </c>
      <c r="I140" s="61">
        <v>500000</v>
      </c>
      <c r="J140" s="61">
        <v>500000</v>
      </c>
      <c r="K140" s="61">
        <v>500000</v>
      </c>
      <c r="L140" s="61">
        <v>500000</v>
      </c>
      <c r="M140" s="61">
        <v>500000</v>
      </c>
      <c r="N140" s="61">
        <v>500000</v>
      </c>
      <c r="O140" s="61">
        <v>500000</v>
      </c>
      <c r="P140" s="61">
        <v>500000</v>
      </c>
    </row>
    <row r="141" spans="1:16" x14ac:dyDescent="0.3">
      <c r="A141" s="15" t="s">
        <v>194</v>
      </c>
      <c r="B141" s="49" t="s">
        <v>3</v>
      </c>
      <c r="C141" s="50"/>
      <c r="D141" s="18">
        <f t="shared" ref="D141:P141" si="30">SUM(D142:D145)</f>
        <v>4400000</v>
      </c>
      <c r="E141" s="18">
        <f t="shared" si="30"/>
        <v>0</v>
      </c>
      <c r="F141" s="18">
        <f t="shared" si="30"/>
        <v>0</v>
      </c>
      <c r="G141" s="18">
        <f t="shared" si="30"/>
        <v>800000</v>
      </c>
      <c r="H141" s="18">
        <f t="shared" si="30"/>
        <v>0</v>
      </c>
      <c r="I141" s="27">
        <f t="shared" si="30"/>
        <v>0</v>
      </c>
      <c r="J141" s="18">
        <f t="shared" si="30"/>
        <v>800000</v>
      </c>
      <c r="K141" s="18">
        <f t="shared" si="30"/>
        <v>800000</v>
      </c>
      <c r="L141" s="18">
        <f t="shared" si="30"/>
        <v>0</v>
      </c>
      <c r="M141" s="18">
        <f t="shared" si="30"/>
        <v>1200000</v>
      </c>
      <c r="N141" s="18">
        <f t="shared" si="30"/>
        <v>0</v>
      </c>
      <c r="O141" s="18">
        <f t="shared" si="30"/>
        <v>0</v>
      </c>
      <c r="P141" s="18">
        <f t="shared" si="30"/>
        <v>800000</v>
      </c>
    </row>
    <row r="142" spans="1:16" outlineLevel="1" x14ac:dyDescent="0.3">
      <c r="A142" s="19" t="s">
        <v>195</v>
      </c>
      <c r="B142" s="47" t="s">
        <v>195</v>
      </c>
      <c r="C142" s="48">
        <v>5121110</v>
      </c>
      <c r="D142" s="20">
        <f>SUM(E142:P142)</f>
        <v>0</v>
      </c>
      <c r="E142" s="20">
        <v>0</v>
      </c>
      <c r="F142" s="20">
        <v>0</v>
      </c>
      <c r="G142" s="20">
        <v>0</v>
      </c>
      <c r="H142" s="20">
        <v>0</v>
      </c>
      <c r="I142" s="29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</row>
    <row r="143" spans="1:16" outlineLevel="1" x14ac:dyDescent="0.3">
      <c r="A143" s="19" t="s">
        <v>196</v>
      </c>
      <c r="B143" s="47" t="s">
        <v>196</v>
      </c>
      <c r="C143" s="48">
        <v>5121120</v>
      </c>
      <c r="D143" s="20">
        <f>SUM(E143:P143)</f>
        <v>0</v>
      </c>
      <c r="E143" s="20">
        <v>0</v>
      </c>
      <c r="F143" s="20">
        <v>0</v>
      </c>
      <c r="G143" s="20">
        <v>0</v>
      </c>
      <c r="H143" s="20">
        <v>0</v>
      </c>
      <c r="I143" s="29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</row>
    <row r="144" spans="1:16" outlineLevel="1" x14ac:dyDescent="0.3">
      <c r="A144" s="19" t="s">
        <v>197</v>
      </c>
      <c r="B144" s="47" t="s">
        <v>197</v>
      </c>
      <c r="C144" s="48">
        <v>5121140</v>
      </c>
      <c r="D144" s="20">
        <f>SUM(E144:P144)</f>
        <v>0</v>
      </c>
      <c r="E144" s="20">
        <v>0</v>
      </c>
      <c r="F144" s="20">
        <v>0</v>
      </c>
      <c r="G144" s="20">
        <v>0</v>
      </c>
      <c r="H144" s="20">
        <v>0</v>
      </c>
      <c r="I144" s="29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</row>
    <row r="145" spans="1:16" s="62" customFormat="1" outlineLevel="1" x14ac:dyDescent="0.3">
      <c r="A145" s="19" t="s">
        <v>198</v>
      </c>
      <c r="B145" s="51" t="s">
        <v>199</v>
      </c>
      <c r="C145" s="60">
        <v>5121150</v>
      </c>
      <c r="D145" s="61">
        <f>SUM(E145:P145)</f>
        <v>4400000</v>
      </c>
      <c r="E145" s="61">
        <v>0</v>
      </c>
      <c r="F145" s="61">
        <v>0</v>
      </c>
      <c r="G145" s="61">
        <v>800000</v>
      </c>
      <c r="H145" s="61">
        <v>0</v>
      </c>
      <c r="I145" s="33">
        <v>0</v>
      </c>
      <c r="J145" s="61">
        <v>800000</v>
      </c>
      <c r="K145" s="61">
        <v>800000</v>
      </c>
      <c r="L145" s="61">
        <v>0</v>
      </c>
      <c r="M145" s="61">
        <v>1200000</v>
      </c>
      <c r="N145" s="61">
        <v>0</v>
      </c>
      <c r="O145" s="61">
        <v>0</v>
      </c>
      <c r="P145" s="61">
        <v>800000</v>
      </c>
    </row>
    <row r="146" spans="1:16" x14ac:dyDescent="0.3">
      <c r="A146" s="15" t="s">
        <v>200</v>
      </c>
      <c r="B146" s="49" t="s">
        <v>3</v>
      </c>
      <c r="C146" s="50"/>
      <c r="D146" s="18">
        <f t="shared" ref="D146:P146" si="31">SUM(D147:D150)</f>
        <v>0</v>
      </c>
      <c r="E146" s="18">
        <f t="shared" si="31"/>
        <v>0</v>
      </c>
      <c r="F146" s="18">
        <f t="shared" si="31"/>
        <v>0</v>
      </c>
      <c r="G146" s="18">
        <f t="shared" si="31"/>
        <v>0</v>
      </c>
      <c r="H146" s="18">
        <f t="shared" si="31"/>
        <v>0</v>
      </c>
      <c r="I146" s="27">
        <f t="shared" si="31"/>
        <v>0</v>
      </c>
      <c r="J146" s="18">
        <f t="shared" si="31"/>
        <v>0</v>
      </c>
      <c r="K146" s="18">
        <f t="shared" si="31"/>
        <v>0</v>
      </c>
      <c r="L146" s="18">
        <f t="shared" si="31"/>
        <v>0</v>
      </c>
      <c r="M146" s="18">
        <f t="shared" si="31"/>
        <v>0</v>
      </c>
      <c r="N146" s="18">
        <f t="shared" si="31"/>
        <v>0</v>
      </c>
      <c r="O146" s="18">
        <f t="shared" si="31"/>
        <v>0</v>
      </c>
      <c r="P146" s="18">
        <f t="shared" si="31"/>
        <v>0</v>
      </c>
    </row>
    <row r="147" spans="1:16" outlineLevel="1" x14ac:dyDescent="0.3">
      <c r="A147" s="19" t="s">
        <v>201</v>
      </c>
      <c r="B147" s="47" t="s">
        <v>202</v>
      </c>
      <c r="C147" s="48">
        <v>5122110</v>
      </c>
      <c r="D147" s="20">
        <f>SUM(E147:P147)</f>
        <v>0</v>
      </c>
      <c r="E147" s="20">
        <v>0</v>
      </c>
      <c r="F147" s="20">
        <v>0</v>
      </c>
      <c r="G147" s="20">
        <v>0</v>
      </c>
      <c r="H147" s="20">
        <v>0</v>
      </c>
      <c r="I147" s="29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</row>
    <row r="148" spans="1:16" outlineLevel="1" x14ac:dyDescent="0.3">
      <c r="A148" s="19" t="s">
        <v>203</v>
      </c>
      <c r="B148" s="47" t="s">
        <v>204</v>
      </c>
      <c r="C148" s="48">
        <v>5122120</v>
      </c>
      <c r="D148" s="20">
        <f>SUM(E148:P148)</f>
        <v>0</v>
      </c>
      <c r="E148" s="20">
        <v>0</v>
      </c>
      <c r="F148" s="20">
        <v>0</v>
      </c>
      <c r="G148" s="20">
        <v>0</v>
      </c>
      <c r="H148" s="20">
        <v>0</v>
      </c>
      <c r="I148" s="29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</row>
    <row r="149" spans="1:16" outlineLevel="1" x14ac:dyDescent="0.3">
      <c r="A149" s="22" t="s">
        <v>205</v>
      </c>
      <c r="B149" s="47" t="s">
        <v>206</v>
      </c>
      <c r="C149" s="48">
        <v>5122130</v>
      </c>
      <c r="D149" s="20">
        <f>SUM(E149:P149)</f>
        <v>0</v>
      </c>
      <c r="E149" s="20">
        <v>0</v>
      </c>
      <c r="F149" s="20">
        <v>0</v>
      </c>
      <c r="G149" s="20">
        <v>0</v>
      </c>
      <c r="H149" s="20">
        <v>0</v>
      </c>
      <c r="I149" s="29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</row>
    <row r="150" spans="1:16" outlineLevel="1" x14ac:dyDescent="0.3">
      <c r="A150" s="19" t="s">
        <v>207</v>
      </c>
      <c r="B150" s="47" t="s">
        <v>208</v>
      </c>
      <c r="C150" s="48">
        <v>5122140</v>
      </c>
      <c r="D150" s="20">
        <f>SUM(E150:P150)</f>
        <v>0</v>
      </c>
      <c r="E150" s="20">
        <v>0</v>
      </c>
      <c r="F150" s="20">
        <v>0</v>
      </c>
      <c r="G150" s="20">
        <v>0</v>
      </c>
      <c r="H150" s="20">
        <v>0</v>
      </c>
      <c r="I150" s="29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</row>
    <row r="151" spans="1:16" x14ac:dyDescent="0.3">
      <c r="A151" s="15" t="s">
        <v>209</v>
      </c>
      <c r="B151" s="49" t="s">
        <v>3</v>
      </c>
      <c r="C151" s="50"/>
      <c r="D151" s="18">
        <f t="shared" ref="D151:P151" si="32">SUM(D152:D154)</f>
        <v>0</v>
      </c>
      <c r="E151" s="18">
        <f t="shared" si="32"/>
        <v>0</v>
      </c>
      <c r="F151" s="18">
        <f t="shared" si="32"/>
        <v>0</v>
      </c>
      <c r="G151" s="18">
        <f t="shared" si="32"/>
        <v>0</v>
      </c>
      <c r="H151" s="18">
        <f t="shared" si="32"/>
        <v>0</v>
      </c>
      <c r="I151" s="27">
        <f t="shared" si="32"/>
        <v>0</v>
      </c>
      <c r="J151" s="18">
        <f t="shared" si="32"/>
        <v>0</v>
      </c>
      <c r="K151" s="18">
        <f t="shared" si="32"/>
        <v>0</v>
      </c>
      <c r="L151" s="18">
        <f t="shared" si="32"/>
        <v>0</v>
      </c>
      <c r="M151" s="18">
        <f t="shared" si="32"/>
        <v>0</v>
      </c>
      <c r="N151" s="18">
        <f t="shared" si="32"/>
        <v>0</v>
      </c>
      <c r="O151" s="18">
        <f t="shared" si="32"/>
        <v>0</v>
      </c>
      <c r="P151" s="18">
        <f t="shared" si="32"/>
        <v>0</v>
      </c>
    </row>
    <row r="152" spans="1:16" outlineLevel="1" x14ac:dyDescent="0.3">
      <c r="A152" s="19" t="s">
        <v>210</v>
      </c>
      <c r="B152" s="47" t="s">
        <v>211</v>
      </c>
      <c r="C152" s="48">
        <v>5123110</v>
      </c>
      <c r="D152" s="20">
        <f t="shared" ref="D152:D154" si="33">SUM(E152:P152)</f>
        <v>0</v>
      </c>
      <c r="E152" s="20">
        <f>SUM(F152:P152)</f>
        <v>0</v>
      </c>
      <c r="F152" s="20">
        <v>0</v>
      </c>
      <c r="G152" s="20">
        <v>0</v>
      </c>
      <c r="H152" s="20">
        <v>0</v>
      </c>
      <c r="I152" s="29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</row>
    <row r="153" spans="1:16" outlineLevel="1" x14ac:dyDescent="0.3">
      <c r="A153" s="19" t="s">
        <v>212</v>
      </c>
      <c r="B153" s="47" t="s">
        <v>213</v>
      </c>
      <c r="C153" s="48">
        <v>5123120</v>
      </c>
      <c r="D153" s="20">
        <f t="shared" si="33"/>
        <v>0</v>
      </c>
      <c r="E153" s="20">
        <f>SUM(F153:P153)</f>
        <v>0</v>
      </c>
      <c r="F153" s="20">
        <v>0</v>
      </c>
      <c r="G153" s="20">
        <v>0</v>
      </c>
      <c r="H153" s="20">
        <v>0</v>
      </c>
      <c r="I153" s="29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</row>
    <row r="154" spans="1:16" outlineLevel="1" x14ac:dyDescent="0.3">
      <c r="A154" s="34" t="s">
        <v>214</v>
      </c>
      <c r="B154" s="52" t="s">
        <v>215</v>
      </c>
      <c r="C154" s="53">
        <v>5123130</v>
      </c>
      <c r="D154" s="37">
        <f t="shared" si="33"/>
        <v>0</v>
      </c>
      <c r="E154" s="37">
        <f>SUM(F154:P154)</f>
        <v>0</v>
      </c>
      <c r="F154" s="37">
        <v>0</v>
      </c>
      <c r="G154" s="37">
        <v>0</v>
      </c>
      <c r="H154" s="37">
        <v>0</v>
      </c>
      <c r="I154" s="39">
        <v>0</v>
      </c>
      <c r="J154" s="37">
        <v>0</v>
      </c>
      <c r="K154" s="37">
        <v>0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8044-83C5-410C-BE20-7EBEC94A1F01}">
  <sheetPr>
    <tabColor theme="9"/>
  </sheetPr>
  <dimension ref="A1:P154"/>
  <sheetViews>
    <sheetView zoomScale="85" zoomScaleNormal="85" workbookViewId="0">
      <pane xSplit="3" ySplit="3" topLeftCell="D4" activePane="bottomRight" state="frozen"/>
      <selection activeCell="BF17" sqref="BF17"/>
      <selection pane="topRight" activeCell="BF17" sqref="BF17"/>
      <selection pane="bottomLeft" activeCell="BF17" sqref="BF17"/>
      <selection pane="bottomRight" activeCell="B22" sqref="B22"/>
    </sheetView>
  </sheetViews>
  <sheetFormatPr defaultColWidth="9" defaultRowHeight="16.5" outlineLevelRow="1" outlineLevelCol="1" x14ac:dyDescent="0.3"/>
  <cols>
    <col min="1" max="1" width="41" style="42" customWidth="1"/>
    <col min="2" max="2" width="27.75" style="42" customWidth="1" outlineLevel="1"/>
    <col min="3" max="3" width="9.25" style="43" customWidth="1" outlineLevel="1"/>
    <col min="4" max="4" width="14.25" style="42" bestFit="1" customWidth="1"/>
    <col min="5" max="16" width="14.25" style="42" customWidth="1" outlineLevel="1"/>
    <col min="17" max="16384" width="9" style="42"/>
  </cols>
  <sheetData>
    <row r="1" spans="1:16" x14ac:dyDescent="0.3">
      <c r="A1" s="56" t="s">
        <v>223</v>
      </c>
    </row>
    <row r="2" spans="1:16" x14ac:dyDescent="0.3">
      <c r="A2" s="3" t="s">
        <v>224</v>
      </c>
    </row>
    <row r="3" spans="1:16" x14ac:dyDescent="0.3">
      <c r="A3" s="4" t="s">
        <v>0</v>
      </c>
      <c r="B3" s="4" t="s">
        <v>1</v>
      </c>
      <c r="C3" s="5" t="s">
        <v>2</v>
      </c>
      <c r="D3" s="6">
        <v>2026</v>
      </c>
      <c r="E3" s="6">
        <v>2026.01</v>
      </c>
      <c r="F3" s="6">
        <v>2026.02</v>
      </c>
      <c r="G3" s="6">
        <v>2026.03</v>
      </c>
      <c r="H3" s="6">
        <v>2026.04</v>
      </c>
      <c r="I3" s="6">
        <v>2026.05</v>
      </c>
      <c r="J3" s="6">
        <v>2026.06</v>
      </c>
      <c r="K3" s="6">
        <v>2026.07</v>
      </c>
      <c r="L3" s="6">
        <v>2026.08</v>
      </c>
      <c r="M3" s="6">
        <v>2026.09</v>
      </c>
      <c r="N3" s="44" t="s">
        <v>225</v>
      </c>
      <c r="O3" s="6">
        <v>2026.11</v>
      </c>
      <c r="P3" s="6">
        <v>2026.12</v>
      </c>
    </row>
    <row r="4" spans="1:16" x14ac:dyDescent="0.3">
      <c r="A4" s="7" t="s">
        <v>4</v>
      </c>
      <c r="B4" s="45" t="s">
        <v>3</v>
      </c>
      <c r="C4" s="46"/>
      <c r="D4" s="24">
        <f t="shared" ref="D4:P4" si="0">D5+D24+D30+D38+D46+D57+D66+D78+D85+D93+D96+D106+D108+D116+D118+D124+D127+D136+D141+D146+D151</f>
        <v>3921393451</v>
      </c>
      <c r="E4" s="24">
        <f t="shared" si="0"/>
        <v>339996698</v>
      </c>
      <c r="F4" s="24">
        <f t="shared" si="0"/>
        <v>405181523</v>
      </c>
      <c r="G4" s="24">
        <f t="shared" si="0"/>
        <v>294021523</v>
      </c>
      <c r="H4" s="24">
        <f t="shared" si="0"/>
        <v>315371523</v>
      </c>
      <c r="I4" s="24">
        <f t="shared" si="0"/>
        <v>273171523</v>
      </c>
      <c r="J4" s="24">
        <f t="shared" si="0"/>
        <v>279021523</v>
      </c>
      <c r="K4" s="24">
        <f t="shared" si="0"/>
        <v>365171523</v>
      </c>
      <c r="L4" s="24">
        <f t="shared" si="0"/>
        <v>273171523</v>
      </c>
      <c r="M4" s="24">
        <f t="shared" si="0"/>
        <v>530921523</v>
      </c>
      <c r="N4" s="24">
        <f t="shared" si="0"/>
        <v>293171523</v>
      </c>
      <c r="O4" s="24">
        <f t="shared" si="0"/>
        <v>273171523</v>
      </c>
      <c r="P4" s="24">
        <f t="shared" si="0"/>
        <v>279021523</v>
      </c>
    </row>
    <row r="5" spans="1:16" x14ac:dyDescent="0.3">
      <c r="A5" s="15" t="s">
        <v>5</v>
      </c>
      <c r="B5" s="49" t="s">
        <v>3</v>
      </c>
      <c r="C5" s="50"/>
      <c r="D5" s="18">
        <f t="shared" ref="D5:P5" si="1">SUM(D6:D23)</f>
        <v>214588000</v>
      </c>
      <c r="E5" s="18">
        <f t="shared" si="1"/>
        <v>17124000</v>
      </c>
      <c r="F5" s="18">
        <f t="shared" si="1"/>
        <v>17124000</v>
      </c>
      <c r="G5" s="18">
        <f t="shared" si="1"/>
        <v>17174000</v>
      </c>
      <c r="H5" s="18">
        <f t="shared" si="1"/>
        <v>19124000</v>
      </c>
      <c r="I5" s="18">
        <f t="shared" si="1"/>
        <v>17124000</v>
      </c>
      <c r="J5" s="18">
        <f t="shared" si="1"/>
        <v>17174000</v>
      </c>
      <c r="K5" s="18">
        <f t="shared" si="1"/>
        <v>17124000</v>
      </c>
      <c r="L5" s="18">
        <f t="shared" si="1"/>
        <v>17124000</v>
      </c>
      <c r="M5" s="18">
        <f t="shared" si="1"/>
        <v>24074000</v>
      </c>
      <c r="N5" s="18">
        <f t="shared" si="1"/>
        <v>17124000</v>
      </c>
      <c r="O5" s="18">
        <f t="shared" si="1"/>
        <v>17124000</v>
      </c>
      <c r="P5" s="18">
        <f t="shared" si="1"/>
        <v>17174000</v>
      </c>
    </row>
    <row r="6" spans="1:16" outlineLevel="1" x14ac:dyDescent="0.3">
      <c r="A6" s="19" t="s">
        <v>6</v>
      </c>
      <c r="B6" s="47" t="s">
        <v>7</v>
      </c>
      <c r="C6" s="48">
        <v>5103260</v>
      </c>
      <c r="D6" s="20">
        <f t="shared" ref="D6:D23" si="2">SUM(E6:P6)</f>
        <v>91200000</v>
      </c>
      <c r="E6" s="20">
        <v>7600000</v>
      </c>
      <c r="F6" s="20">
        <v>7600000</v>
      </c>
      <c r="G6" s="20">
        <v>7600000</v>
      </c>
      <c r="H6" s="20">
        <v>7600000</v>
      </c>
      <c r="I6" s="20">
        <v>7600000</v>
      </c>
      <c r="J6" s="20">
        <v>7600000</v>
      </c>
      <c r="K6" s="20">
        <v>7600000</v>
      </c>
      <c r="L6" s="20">
        <v>7600000</v>
      </c>
      <c r="M6" s="20">
        <v>7600000</v>
      </c>
      <c r="N6" s="20">
        <v>7600000</v>
      </c>
      <c r="O6" s="20">
        <v>7600000</v>
      </c>
      <c r="P6" s="20">
        <v>7600000</v>
      </c>
    </row>
    <row r="7" spans="1:16" outlineLevel="1" x14ac:dyDescent="0.3">
      <c r="A7" s="19" t="s">
        <v>8</v>
      </c>
      <c r="B7" s="47" t="s">
        <v>9</v>
      </c>
      <c r="C7" s="48">
        <v>5103250</v>
      </c>
      <c r="D7" s="20">
        <f t="shared" si="2"/>
        <v>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outlineLevel="1" x14ac:dyDescent="0.3">
      <c r="A8" s="19" t="s">
        <v>10</v>
      </c>
      <c r="B8" s="47" t="s">
        <v>11</v>
      </c>
      <c r="C8" s="48">
        <v>5103240</v>
      </c>
      <c r="D8" s="20">
        <f t="shared" si="2"/>
        <v>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outlineLevel="1" x14ac:dyDescent="0.3">
      <c r="A9" s="19" t="s">
        <v>12</v>
      </c>
      <c r="B9" s="47" t="s">
        <v>13</v>
      </c>
      <c r="C9" s="48">
        <v>5103230</v>
      </c>
      <c r="D9" s="20">
        <f t="shared" si="2"/>
        <v>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outlineLevel="1" x14ac:dyDescent="0.3">
      <c r="A10" s="19" t="s">
        <v>14</v>
      </c>
      <c r="B10" s="47" t="s">
        <v>15</v>
      </c>
      <c r="C10" s="48">
        <v>5103220</v>
      </c>
      <c r="D10" s="20">
        <f t="shared" si="2"/>
        <v>48000000</v>
      </c>
      <c r="E10" s="20">
        <v>4000000</v>
      </c>
      <c r="F10" s="20">
        <v>4000000</v>
      </c>
      <c r="G10" s="20">
        <v>4000000</v>
      </c>
      <c r="H10" s="20">
        <v>4000000</v>
      </c>
      <c r="I10" s="20">
        <v>4000000</v>
      </c>
      <c r="J10" s="20">
        <v>4000000</v>
      </c>
      <c r="K10" s="20">
        <v>4000000</v>
      </c>
      <c r="L10" s="20">
        <v>4000000</v>
      </c>
      <c r="M10" s="20">
        <v>4000000</v>
      </c>
      <c r="N10" s="20">
        <v>4000000</v>
      </c>
      <c r="O10" s="20">
        <v>4000000</v>
      </c>
      <c r="P10" s="20">
        <v>4000000</v>
      </c>
    </row>
    <row r="11" spans="1:16" outlineLevel="1" x14ac:dyDescent="0.3">
      <c r="A11" s="19" t="s">
        <v>16</v>
      </c>
      <c r="B11" s="47" t="s">
        <v>16</v>
      </c>
      <c r="C11" s="48">
        <v>5103210</v>
      </c>
      <c r="D11" s="20">
        <f t="shared" si="2"/>
        <v>800000</v>
      </c>
      <c r="E11" s="20">
        <v>50000</v>
      </c>
      <c r="F11" s="20">
        <v>50000</v>
      </c>
      <c r="G11" s="20">
        <v>100000</v>
      </c>
      <c r="H11" s="20">
        <v>50000</v>
      </c>
      <c r="I11" s="20">
        <v>50000</v>
      </c>
      <c r="J11" s="20">
        <v>100000</v>
      </c>
      <c r="K11" s="20">
        <v>50000</v>
      </c>
      <c r="L11" s="20">
        <v>50000</v>
      </c>
      <c r="M11" s="20">
        <v>100000</v>
      </c>
      <c r="N11" s="20">
        <v>50000</v>
      </c>
      <c r="O11" s="20">
        <v>50000</v>
      </c>
      <c r="P11" s="20">
        <v>100000</v>
      </c>
    </row>
    <row r="12" spans="1:16" outlineLevel="1" x14ac:dyDescent="0.3">
      <c r="A12" s="19" t="s">
        <v>17</v>
      </c>
      <c r="B12" s="47" t="s">
        <v>18</v>
      </c>
      <c r="C12" s="48">
        <v>5103190</v>
      </c>
      <c r="D12" s="20">
        <f t="shared" si="2"/>
        <v>528000</v>
      </c>
      <c r="E12" s="20">
        <v>44000</v>
      </c>
      <c r="F12" s="20">
        <v>44000</v>
      </c>
      <c r="G12" s="20">
        <v>44000</v>
      </c>
      <c r="H12" s="20">
        <v>44000</v>
      </c>
      <c r="I12" s="20">
        <v>44000</v>
      </c>
      <c r="J12" s="20">
        <v>44000</v>
      </c>
      <c r="K12" s="20">
        <v>44000</v>
      </c>
      <c r="L12" s="20">
        <v>44000</v>
      </c>
      <c r="M12" s="20">
        <v>44000</v>
      </c>
      <c r="N12" s="20">
        <v>44000</v>
      </c>
      <c r="O12" s="20">
        <v>44000</v>
      </c>
      <c r="P12" s="20">
        <v>44000</v>
      </c>
    </row>
    <row r="13" spans="1:16" outlineLevel="1" x14ac:dyDescent="0.3">
      <c r="A13" s="19" t="s">
        <v>19</v>
      </c>
      <c r="B13" s="47" t="s">
        <v>20</v>
      </c>
      <c r="C13" s="48">
        <v>5103180</v>
      </c>
      <c r="D13" s="20">
        <f t="shared" si="2"/>
        <v>3600000</v>
      </c>
      <c r="E13" s="20">
        <v>300000</v>
      </c>
      <c r="F13" s="20">
        <v>300000</v>
      </c>
      <c r="G13" s="20">
        <v>300000</v>
      </c>
      <c r="H13" s="20">
        <v>300000</v>
      </c>
      <c r="I13" s="20">
        <v>300000</v>
      </c>
      <c r="J13" s="20">
        <v>300000</v>
      </c>
      <c r="K13" s="20">
        <v>300000</v>
      </c>
      <c r="L13" s="20">
        <v>300000</v>
      </c>
      <c r="M13" s="20">
        <v>300000</v>
      </c>
      <c r="N13" s="20">
        <v>300000</v>
      </c>
      <c r="O13" s="20">
        <v>300000</v>
      </c>
      <c r="P13" s="20">
        <v>300000</v>
      </c>
    </row>
    <row r="14" spans="1:16" outlineLevel="1" x14ac:dyDescent="0.3">
      <c r="A14" s="19" t="s">
        <v>21</v>
      </c>
      <c r="B14" s="47" t="s">
        <v>22</v>
      </c>
      <c r="C14" s="48">
        <v>5103170</v>
      </c>
      <c r="D14" s="20">
        <f t="shared" si="2"/>
        <v>10100000</v>
      </c>
      <c r="E14" s="20">
        <v>100000</v>
      </c>
      <c r="F14" s="20">
        <v>100000</v>
      </c>
      <c r="G14" s="20">
        <v>100000</v>
      </c>
      <c r="H14" s="20">
        <v>2100000</v>
      </c>
      <c r="I14" s="20">
        <v>100000</v>
      </c>
      <c r="J14" s="20">
        <v>100000</v>
      </c>
      <c r="K14" s="20">
        <v>100000</v>
      </c>
      <c r="L14" s="20">
        <v>100000</v>
      </c>
      <c r="M14" s="20">
        <v>7000000</v>
      </c>
      <c r="N14" s="20">
        <v>100000</v>
      </c>
      <c r="O14" s="20">
        <v>100000</v>
      </c>
      <c r="P14" s="20">
        <v>100000</v>
      </c>
    </row>
    <row r="15" spans="1:16" outlineLevel="1" x14ac:dyDescent="0.3">
      <c r="A15" s="19" t="s">
        <v>23</v>
      </c>
      <c r="B15" s="47" t="s">
        <v>24</v>
      </c>
      <c r="C15" s="48">
        <v>5103160</v>
      </c>
      <c r="D15" s="20">
        <f t="shared" si="2"/>
        <v>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 outlineLevel="1" x14ac:dyDescent="0.3">
      <c r="A16" s="19" t="s">
        <v>25</v>
      </c>
      <c r="B16" s="47" t="s">
        <v>26</v>
      </c>
      <c r="C16" s="48">
        <v>5103150</v>
      </c>
      <c r="D16" s="20">
        <f t="shared" si="2"/>
        <v>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outlineLevel="1" x14ac:dyDescent="0.3">
      <c r="A17" s="19" t="s">
        <v>27</v>
      </c>
      <c r="B17" s="47" t="s">
        <v>28</v>
      </c>
      <c r="C17" s="48">
        <v>5103140</v>
      </c>
      <c r="D17" s="20">
        <f t="shared" si="2"/>
        <v>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outlineLevel="1" x14ac:dyDescent="0.3">
      <c r="A18" s="19" t="s">
        <v>29</v>
      </c>
      <c r="B18" s="47" t="s">
        <v>3</v>
      </c>
      <c r="C18" s="48">
        <v>5103130</v>
      </c>
      <c r="D18" s="20">
        <f t="shared" si="2"/>
        <v>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 outlineLevel="1" x14ac:dyDescent="0.3">
      <c r="A19" s="19" t="s">
        <v>30</v>
      </c>
      <c r="B19" s="47" t="s">
        <v>31</v>
      </c>
      <c r="C19" s="48">
        <v>5103120</v>
      </c>
      <c r="D19" s="20">
        <f t="shared" si="2"/>
        <v>0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 outlineLevel="1" x14ac:dyDescent="0.3">
      <c r="A20" s="19" t="s">
        <v>32</v>
      </c>
      <c r="B20" s="47" t="s">
        <v>33</v>
      </c>
      <c r="C20" s="48">
        <v>5103110</v>
      </c>
      <c r="D20" s="20">
        <f t="shared" si="2"/>
        <v>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outlineLevel="1" x14ac:dyDescent="0.3">
      <c r="A21" s="19" t="s">
        <v>34</v>
      </c>
      <c r="B21" s="47" t="s">
        <v>18</v>
      </c>
      <c r="C21" s="48">
        <v>5103270</v>
      </c>
      <c r="D21" s="20">
        <f t="shared" si="2"/>
        <v>44400000</v>
      </c>
      <c r="E21" s="20">
        <v>3700000</v>
      </c>
      <c r="F21" s="20">
        <v>3700000</v>
      </c>
      <c r="G21" s="20">
        <v>3700000</v>
      </c>
      <c r="H21" s="20">
        <v>3700000</v>
      </c>
      <c r="I21" s="20">
        <v>3700000</v>
      </c>
      <c r="J21" s="20">
        <v>3700000</v>
      </c>
      <c r="K21" s="20">
        <v>3700000</v>
      </c>
      <c r="L21" s="20">
        <v>3700000</v>
      </c>
      <c r="M21" s="20">
        <v>3700000</v>
      </c>
      <c r="N21" s="20">
        <v>3700000</v>
      </c>
      <c r="O21" s="20">
        <v>3700000</v>
      </c>
      <c r="P21" s="20">
        <v>3700000</v>
      </c>
    </row>
    <row r="22" spans="1:16" outlineLevel="1" x14ac:dyDescent="0.3">
      <c r="A22" s="19" t="s">
        <v>35</v>
      </c>
      <c r="B22" s="47" t="s">
        <v>35</v>
      </c>
      <c r="C22" s="48">
        <v>5103111</v>
      </c>
      <c r="D22" s="20">
        <f t="shared" si="2"/>
        <v>1800000</v>
      </c>
      <c r="E22" s="20">
        <v>150000</v>
      </c>
      <c r="F22" s="20">
        <v>150000</v>
      </c>
      <c r="G22" s="20">
        <v>150000</v>
      </c>
      <c r="H22" s="20">
        <v>150000</v>
      </c>
      <c r="I22" s="20">
        <v>150000</v>
      </c>
      <c r="J22" s="20">
        <v>150000</v>
      </c>
      <c r="K22" s="20">
        <v>150000</v>
      </c>
      <c r="L22" s="20">
        <v>150000</v>
      </c>
      <c r="M22" s="20">
        <v>150000</v>
      </c>
      <c r="N22" s="20">
        <v>150000</v>
      </c>
      <c r="O22" s="20">
        <v>150000</v>
      </c>
      <c r="P22" s="20">
        <v>150000</v>
      </c>
    </row>
    <row r="23" spans="1:16" outlineLevel="1" x14ac:dyDescent="0.3">
      <c r="A23" s="19" t="s">
        <v>36</v>
      </c>
      <c r="B23" s="47" t="s">
        <v>36</v>
      </c>
      <c r="C23" s="48">
        <v>5103131</v>
      </c>
      <c r="D23" s="20">
        <f t="shared" si="2"/>
        <v>14160000</v>
      </c>
      <c r="E23" s="20">
        <v>1180000</v>
      </c>
      <c r="F23" s="20">
        <v>1180000</v>
      </c>
      <c r="G23" s="20">
        <v>1180000</v>
      </c>
      <c r="H23" s="20">
        <v>1180000</v>
      </c>
      <c r="I23" s="20">
        <v>1180000</v>
      </c>
      <c r="J23" s="20">
        <v>1180000</v>
      </c>
      <c r="K23" s="20">
        <v>1180000</v>
      </c>
      <c r="L23" s="20">
        <v>1180000</v>
      </c>
      <c r="M23" s="20">
        <v>1180000</v>
      </c>
      <c r="N23" s="20">
        <v>1180000</v>
      </c>
      <c r="O23" s="20">
        <v>1180000</v>
      </c>
      <c r="P23" s="20">
        <v>1180000</v>
      </c>
    </row>
    <row r="24" spans="1:16" x14ac:dyDescent="0.3">
      <c r="A24" s="15" t="s">
        <v>37</v>
      </c>
      <c r="B24" s="49" t="s">
        <v>3</v>
      </c>
      <c r="C24" s="50"/>
      <c r="D24" s="18">
        <f t="shared" ref="D24:P24" si="3">SUM(D25:D29)</f>
        <v>1440000</v>
      </c>
      <c r="E24" s="18">
        <f t="shared" si="3"/>
        <v>120000</v>
      </c>
      <c r="F24" s="18">
        <f t="shared" si="3"/>
        <v>120000</v>
      </c>
      <c r="G24" s="18">
        <f t="shared" si="3"/>
        <v>120000</v>
      </c>
      <c r="H24" s="18">
        <f t="shared" si="3"/>
        <v>120000</v>
      </c>
      <c r="I24" s="18">
        <f t="shared" si="3"/>
        <v>120000</v>
      </c>
      <c r="J24" s="18">
        <f t="shared" si="3"/>
        <v>120000</v>
      </c>
      <c r="K24" s="18">
        <f t="shared" si="3"/>
        <v>120000</v>
      </c>
      <c r="L24" s="18">
        <f t="shared" si="3"/>
        <v>120000</v>
      </c>
      <c r="M24" s="18">
        <f t="shared" si="3"/>
        <v>120000</v>
      </c>
      <c r="N24" s="18">
        <f t="shared" si="3"/>
        <v>120000</v>
      </c>
      <c r="O24" s="18">
        <f t="shared" si="3"/>
        <v>120000</v>
      </c>
      <c r="P24" s="18">
        <f t="shared" si="3"/>
        <v>120000</v>
      </c>
    </row>
    <row r="25" spans="1:16" outlineLevel="1" x14ac:dyDescent="0.3">
      <c r="A25" s="19" t="s">
        <v>38</v>
      </c>
      <c r="B25" s="47" t="s">
        <v>39</v>
      </c>
      <c r="C25" s="48">
        <v>5104110</v>
      </c>
      <c r="D25" s="20">
        <f>SUM(E25:P25)</f>
        <v>0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outlineLevel="1" x14ac:dyDescent="0.3">
      <c r="A26" s="19" t="s">
        <v>40</v>
      </c>
      <c r="B26" s="47" t="s">
        <v>41</v>
      </c>
      <c r="C26" s="48">
        <v>5104120</v>
      </c>
      <c r="D26" s="20">
        <f>SUM(E26:P26)</f>
        <v>1200000</v>
      </c>
      <c r="E26" s="20">
        <v>100000</v>
      </c>
      <c r="F26" s="20">
        <v>100000</v>
      </c>
      <c r="G26" s="20">
        <v>100000</v>
      </c>
      <c r="H26" s="20">
        <v>100000</v>
      </c>
      <c r="I26" s="20">
        <v>100000</v>
      </c>
      <c r="J26" s="20">
        <v>100000</v>
      </c>
      <c r="K26" s="20">
        <v>100000</v>
      </c>
      <c r="L26" s="20">
        <v>100000</v>
      </c>
      <c r="M26" s="20">
        <v>100000</v>
      </c>
      <c r="N26" s="20">
        <v>100000</v>
      </c>
      <c r="O26" s="20">
        <v>100000</v>
      </c>
      <c r="P26" s="20">
        <v>100000</v>
      </c>
    </row>
    <row r="27" spans="1:16" outlineLevel="1" x14ac:dyDescent="0.3">
      <c r="A27" s="19" t="s">
        <v>42</v>
      </c>
      <c r="B27" s="47" t="s">
        <v>43</v>
      </c>
      <c r="C27" s="48">
        <v>5104130</v>
      </c>
      <c r="D27" s="20">
        <f>SUM(E27:P27)</f>
        <v>240000</v>
      </c>
      <c r="E27" s="20">
        <v>20000</v>
      </c>
      <c r="F27" s="20">
        <v>20000</v>
      </c>
      <c r="G27" s="20">
        <v>20000</v>
      </c>
      <c r="H27" s="20">
        <v>20000</v>
      </c>
      <c r="I27" s="20">
        <v>20000</v>
      </c>
      <c r="J27" s="20">
        <v>20000</v>
      </c>
      <c r="K27" s="20">
        <v>20000</v>
      </c>
      <c r="L27" s="20">
        <v>20000</v>
      </c>
      <c r="M27" s="20">
        <v>20000</v>
      </c>
      <c r="N27" s="20">
        <v>20000</v>
      </c>
      <c r="O27" s="20">
        <v>20000</v>
      </c>
      <c r="P27" s="20">
        <v>20000</v>
      </c>
    </row>
    <row r="28" spans="1:16" outlineLevel="1" x14ac:dyDescent="0.3">
      <c r="A28" s="19" t="s">
        <v>44</v>
      </c>
      <c r="B28" s="47" t="s">
        <v>45</v>
      </c>
      <c r="C28" s="48">
        <v>5104140</v>
      </c>
      <c r="D28" s="20">
        <f>SUM(E28:P28)</f>
        <v>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outlineLevel="1" x14ac:dyDescent="0.3">
      <c r="A29" s="19" t="s">
        <v>46</v>
      </c>
      <c r="B29" s="47" t="s">
        <v>46</v>
      </c>
      <c r="C29" s="48">
        <v>5104150</v>
      </c>
      <c r="D29" s="20">
        <f>SUM(E29:P29)</f>
        <v>0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x14ac:dyDescent="0.3">
      <c r="A30" s="15" t="s">
        <v>47</v>
      </c>
      <c r="B30" s="49" t="s">
        <v>3</v>
      </c>
      <c r="C30" s="50"/>
      <c r="D30" s="18">
        <f t="shared" ref="D30:P30" si="4">SUM(D31:D37)</f>
        <v>5040000</v>
      </c>
      <c r="E30" s="18">
        <f t="shared" si="4"/>
        <v>420000</v>
      </c>
      <c r="F30" s="18">
        <f t="shared" si="4"/>
        <v>420000</v>
      </c>
      <c r="G30" s="18">
        <f t="shared" si="4"/>
        <v>420000</v>
      </c>
      <c r="H30" s="18">
        <f t="shared" si="4"/>
        <v>420000</v>
      </c>
      <c r="I30" s="18">
        <f t="shared" si="4"/>
        <v>420000</v>
      </c>
      <c r="J30" s="18">
        <f t="shared" si="4"/>
        <v>420000</v>
      </c>
      <c r="K30" s="18">
        <f t="shared" si="4"/>
        <v>420000</v>
      </c>
      <c r="L30" s="18">
        <f t="shared" si="4"/>
        <v>420000</v>
      </c>
      <c r="M30" s="18">
        <f t="shared" si="4"/>
        <v>420000</v>
      </c>
      <c r="N30" s="18">
        <f t="shared" si="4"/>
        <v>420000</v>
      </c>
      <c r="O30" s="18">
        <f t="shared" si="4"/>
        <v>420000</v>
      </c>
      <c r="P30" s="18">
        <f t="shared" si="4"/>
        <v>420000</v>
      </c>
    </row>
    <row r="31" spans="1:16" outlineLevel="1" x14ac:dyDescent="0.3">
      <c r="A31" s="19" t="s">
        <v>48</v>
      </c>
      <c r="B31" s="47" t="s">
        <v>49</v>
      </c>
      <c r="C31" s="48">
        <v>5105160</v>
      </c>
      <c r="D31" s="20">
        <f t="shared" ref="D31:D37" si="5">SUM(E31:P31)</f>
        <v>0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outlineLevel="1" x14ac:dyDescent="0.3">
      <c r="A32" s="19" t="s">
        <v>50</v>
      </c>
      <c r="B32" s="47" t="s">
        <v>49</v>
      </c>
      <c r="C32" s="48">
        <v>5105150</v>
      </c>
      <c r="D32" s="20">
        <f t="shared" si="5"/>
        <v>2400000</v>
      </c>
      <c r="E32" s="20">
        <v>200000</v>
      </c>
      <c r="F32" s="20">
        <v>200000</v>
      </c>
      <c r="G32" s="20">
        <v>200000</v>
      </c>
      <c r="H32" s="20">
        <v>200000</v>
      </c>
      <c r="I32" s="20">
        <v>200000</v>
      </c>
      <c r="J32" s="20">
        <v>200000</v>
      </c>
      <c r="K32" s="20">
        <v>200000</v>
      </c>
      <c r="L32" s="20">
        <v>200000</v>
      </c>
      <c r="M32" s="20">
        <v>200000</v>
      </c>
      <c r="N32" s="20">
        <v>200000</v>
      </c>
      <c r="O32" s="20">
        <v>200000</v>
      </c>
      <c r="P32" s="20">
        <v>200000</v>
      </c>
    </row>
    <row r="33" spans="1:16" outlineLevel="1" x14ac:dyDescent="0.3">
      <c r="A33" s="19" t="s">
        <v>51</v>
      </c>
      <c r="B33" s="47" t="s">
        <v>52</v>
      </c>
      <c r="C33" s="48">
        <v>5105140</v>
      </c>
      <c r="D33" s="20">
        <f t="shared" si="5"/>
        <v>240000</v>
      </c>
      <c r="E33" s="20">
        <v>20000</v>
      </c>
      <c r="F33" s="20">
        <v>20000</v>
      </c>
      <c r="G33" s="20">
        <v>20000</v>
      </c>
      <c r="H33" s="20">
        <v>20000</v>
      </c>
      <c r="I33" s="20">
        <v>20000</v>
      </c>
      <c r="J33" s="20">
        <v>20000</v>
      </c>
      <c r="K33" s="20">
        <v>20000</v>
      </c>
      <c r="L33" s="20">
        <v>20000</v>
      </c>
      <c r="M33" s="20">
        <v>20000</v>
      </c>
      <c r="N33" s="20">
        <v>20000</v>
      </c>
      <c r="O33" s="20">
        <v>20000</v>
      </c>
      <c r="P33" s="20">
        <v>20000</v>
      </c>
    </row>
    <row r="34" spans="1:16" outlineLevel="1" x14ac:dyDescent="0.3">
      <c r="A34" s="19" t="s">
        <v>53</v>
      </c>
      <c r="B34" s="47" t="s">
        <v>49</v>
      </c>
      <c r="C34" s="48">
        <v>5105130</v>
      </c>
      <c r="D34" s="20">
        <f t="shared" si="5"/>
        <v>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outlineLevel="1" x14ac:dyDescent="0.3">
      <c r="A35" s="19" t="s">
        <v>54</v>
      </c>
      <c r="B35" s="47" t="s">
        <v>49</v>
      </c>
      <c r="C35" s="48">
        <v>5105120</v>
      </c>
      <c r="D35" s="20">
        <f t="shared" si="5"/>
        <v>0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outlineLevel="1" x14ac:dyDescent="0.3">
      <c r="A36" s="19" t="s">
        <v>55</v>
      </c>
      <c r="B36" s="47" t="s">
        <v>49</v>
      </c>
      <c r="C36" s="48">
        <v>5105110</v>
      </c>
      <c r="D36" s="20">
        <f t="shared" si="5"/>
        <v>0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outlineLevel="1" x14ac:dyDescent="0.3">
      <c r="A37" s="19" t="s">
        <v>56</v>
      </c>
      <c r="B37" s="47" t="s">
        <v>49</v>
      </c>
      <c r="C37" s="48">
        <v>5105111</v>
      </c>
      <c r="D37" s="20">
        <f t="shared" si="5"/>
        <v>2400000</v>
      </c>
      <c r="E37" s="20">
        <v>200000</v>
      </c>
      <c r="F37" s="20">
        <v>200000</v>
      </c>
      <c r="G37" s="20">
        <v>200000</v>
      </c>
      <c r="H37" s="20">
        <v>200000</v>
      </c>
      <c r="I37" s="20">
        <v>200000</v>
      </c>
      <c r="J37" s="20">
        <v>200000</v>
      </c>
      <c r="K37" s="20">
        <v>200000</v>
      </c>
      <c r="L37" s="20">
        <v>200000</v>
      </c>
      <c r="M37" s="20">
        <v>200000</v>
      </c>
      <c r="N37" s="20">
        <v>200000</v>
      </c>
      <c r="O37" s="20">
        <v>200000</v>
      </c>
      <c r="P37" s="20">
        <v>200000</v>
      </c>
    </row>
    <row r="38" spans="1:16" x14ac:dyDescent="0.3">
      <c r="A38" s="15" t="s">
        <v>57</v>
      </c>
      <c r="B38" s="49" t="s">
        <v>3</v>
      </c>
      <c r="C38" s="50"/>
      <c r="D38" s="18">
        <f t="shared" ref="D38:P38" si="6">SUM(D39:D45)</f>
        <v>0</v>
      </c>
      <c r="E38" s="18">
        <f t="shared" si="6"/>
        <v>0</v>
      </c>
      <c r="F38" s="18">
        <f t="shared" si="6"/>
        <v>0</v>
      </c>
      <c r="G38" s="18">
        <f t="shared" si="6"/>
        <v>0</v>
      </c>
      <c r="H38" s="18">
        <f t="shared" si="6"/>
        <v>0</v>
      </c>
      <c r="I38" s="18">
        <f t="shared" si="6"/>
        <v>0</v>
      </c>
      <c r="J38" s="18">
        <f t="shared" si="6"/>
        <v>0</v>
      </c>
      <c r="K38" s="18">
        <f t="shared" si="6"/>
        <v>0</v>
      </c>
      <c r="L38" s="18">
        <f t="shared" si="6"/>
        <v>0</v>
      </c>
      <c r="M38" s="18">
        <f t="shared" si="6"/>
        <v>0</v>
      </c>
      <c r="N38" s="18">
        <f t="shared" si="6"/>
        <v>0</v>
      </c>
      <c r="O38" s="18">
        <f t="shared" si="6"/>
        <v>0</v>
      </c>
      <c r="P38" s="18">
        <f t="shared" si="6"/>
        <v>0</v>
      </c>
    </row>
    <row r="39" spans="1:16" outlineLevel="1" x14ac:dyDescent="0.3">
      <c r="A39" s="19" t="s">
        <v>58</v>
      </c>
      <c r="B39" s="47" t="s">
        <v>59</v>
      </c>
      <c r="C39" s="48">
        <v>5106110</v>
      </c>
      <c r="D39" s="20">
        <f t="shared" ref="D39:D45" si="7">SUM(E39:P39)</f>
        <v>0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pans="1:16" outlineLevel="1" x14ac:dyDescent="0.3">
      <c r="A40" s="19" t="s">
        <v>60</v>
      </c>
      <c r="B40" s="47" t="s">
        <v>59</v>
      </c>
      <c r="C40" s="48">
        <v>5106120</v>
      </c>
      <c r="D40" s="20">
        <f t="shared" si="7"/>
        <v>0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outlineLevel="1" x14ac:dyDescent="0.3">
      <c r="A41" s="19" t="s">
        <v>61</v>
      </c>
      <c r="B41" s="47" t="s">
        <v>59</v>
      </c>
      <c r="C41" s="48">
        <v>5106130</v>
      </c>
      <c r="D41" s="20">
        <f t="shared" si="7"/>
        <v>0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1:16" outlineLevel="1" x14ac:dyDescent="0.3">
      <c r="A42" s="19" t="s">
        <v>62</v>
      </c>
      <c r="B42" s="47" t="s">
        <v>3</v>
      </c>
      <c r="C42" s="48">
        <v>5106140</v>
      </c>
      <c r="D42" s="20">
        <f t="shared" si="7"/>
        <v>0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 outlineLevel="1" x14ac:dyDescent="0.3">
      <c r="A43" s="19" t="s">
        <v>63</v>
      </c>
      <c r="B43" s="47" t="s">
        <v>59</v>
      </c>
      <c r="C43" s="48">
        <v>5106150</v>
      </c>
      <c r="D43" s="20">
        <f t="shared" si="7"/>
        <v>0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1:16" outlineLevel="1" x14ac:dyDescent="0.3">
      <c r="A44" s="19" t="s">
        <v>64</v>
      </c>
      <c r="B44" s="47" t="s">
        <v>3</v>
      </c>
      <c r="C44" s="48">
        <v>5106160</v>
      </c>
      <c r="D44" s="20">
        <f t="shared" si="7"/>
        <v>0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outlineLevel="1" x14ac:dyDescent="0.3">
      <c r="A45" s="19" t="s">
        <v>65</v>
      </c>
      <c r="B45" s="47" t="s">
        <v>59</v>
      </c>
      <c r="C45" s="48">
        <v>5106141</v>
      </c>
      <c r="D45" s="20">
        <f t="shared" si="7"/>
        <v>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x14ac:dyDescent="0.3">
      <c r="A46" s="15" t="s">
        <v>66</v>
      </c>
      <c r="B46" s="49" t="s">
        <v>3</v>
      </c>
      <c r="C46" s="50"/>
      <c r="D46" s="18">
        <f t="shared" ref="D46:P46" si="8">SUM(D47:D56)</f>
        <v>340700000</v>
      </c>
      <c r="E46" s="18">
        <f t="shared" si="8"/>
        <v>2900000</v>
      </c>
      <c r="F46" s="18">
        <f t="shared" si="8"/>
        <v>2800000</v>
      </c>
      <c r="G46" s="18">
        <f t="shared" si="8"/>
        <v>2500000</v>
      </c>
      <c r="H46" s="18">
        <f t="shared" si="8"/>
        <v>2500000</v>
      </c>
      <c r="I46" s="18">
        <f t="shared" si="8"/>
        <v>2500000</v>
      </c>
      <c r="J46" s="18">
        <f t="shared" si="8"/>
        <v>2500000</v>
      </c>
      <c r="K46" s="18">
        <f t="shared" si="8"/>
        <v>62500000</v>
      </c>
      <c r="L46" s="18">
        <f t="shared" si="8"/>
        <v>2500000</v>
      </c>
      <c r="M46" s="18">
        <f t="shared" si="8"/>
        <v>252500000</v>
      </c>
      <c r="N46" s="18">
        <f t="shared" si="8"/>
        <v>2500000</v>
      </c>
      <c r="O46" s="18">
        <f t="shared" si="8"/>
        <v>2500000</v>
      </c>
      <c r="P46" s="18">
        <f t="shared" si="8"/>
        <v>2500000</v>
      </c>
    </row>
    <row r="47" spans="1:16" outlineLevel="1" x14ac:dyDescent="0.3">
      <c r="A47" s="19" t="s">
        <v>67</v>
      </c>
      <c r="B47" s="47" t="s">
        <v>68</v>
      </c>
      <c r="C47" s="48">
        <v>5107110</v>
      </c>
      <c r="D47" s="20">
        <f t="shared" ref="D47:D56" si="9">SUM(E47:P47)</f>
        <v>0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outlineLevel="1" x14ac:dyDescent="0.3">
      <c r="A48" s="19" t="s">
        <v>69</v>
      </c>
      <c r="B48" s="47" t="s">
        <v>68</v>
      </c>
      <c r="C48" s="48">
        <v>5107130</v>
      </c>
      <c r="D48" s="20">
        <f t="shared" si="9"/>
        <v>30000000</v>
      </c>
      <c r="E48" s="20">
        <v>2500000</v>
      </c>
      <c r="F48" s="20">
        <v>2500000</v>
      </c>
      <c r="G48" s="20">
        <v>2500000</v>
      </c>
      <c r="H48" s="20">
        <v>2500000</v>
      </c>
      <c r="I48" s="20">
        <v>2500000</v>
      </c>
      <c r="J48" s="20">
        <v>2500000</v>
      </c>
      <c r="K48" s="20">
        <v>2500000</v>
      </c>
      <c r="L48" s="20">
        <v>2500000</v>
      </c>
      <c r="M48" s="20">
        <v>2500000</v>
      </c>
      <c r="N48" s="20">
        <v>2500000</v>
      </c>
      <c r="O48" s="20">
        <v>2500000</v>
      </c>
      <c r="P48" s="20">
        <v>2500000</v>
      </c>
    </row>
    <row r="49" spans="1:16" outlineLevel="1" x14ac:dyDescent="0.3">
      <c r="A49" s="22" t="s">
        <v>70</v>
      </c>
      <c r="B49" s="47" t="s">
        <v>68</v>
      </c>
      <c r="C49" s="48">
        <v>5107120</v>
      </c>
      <c r="D49" s="20">
        <f t="shared" si="9"/>
        <v>0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pans="1:16" outlineLevel="1" x14ac:dyDescent="0.3">
      <c r="A50" s="19" t="s">
        <v>71</v>
      </c>
      <c r="B50" s="47" t="s">
        <v>68</v>
      </c>
      <c r="C50" s="48">
        <v>5107140</v>
      </c>
      <c r="D50" s="20">
        <f t="shared" si="9"/>
        <v>310000000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60000000</v>
      </c>
      <c r="L50" s="20">
        <v>0</v>
      </c>
      <c r="M50" s="20">
        <v>250000000</v>
      </c>
      <c r="N50" s="20">
        <v>0</v>
      </c>
      <c r="O50" s="20">
        <v>0</v>
      </c>
      <c r="P50" s="20">
        <v>0</v>
      </c>
    </row>
    <row r="51" spans="1:16" outlineLevel="1" x14ac:dyDescent="0.3">
      <c r="A51" s="19" t="s">
        <v>72</v>
      </c>
      <c r="B51" s="47" t="s">
        <v>68</v>
      </c>
      <c r="C51" s="48">
        <v>5107150</v>
      </c>
      <c r="D51" s="20">
        <f t="shared" si="9"/>
        <v>0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outlineLevel="1" x14ac:dyDescent="0.3">
      <c r="A52" s="19" t="s">
        <v>73</v>
      </c>
      <c r="B52" s="47" t="s">
        <v>68</v>
      </c>
      <c r="C52" s="48">
        <v>5107160</v>
      </c>
      <c r="D52" s="20">
        <f t="shared" si="9"/>
        <v>400000</v>
      </c>
      <c r="E52" s="20">
        <v>400000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</row>
    <row r="53" spans="1:16" outlineLevel="1" x14ac:dyDescent="0.3">
      <c r="A53" s="19" t="s">
        <v>74</v>
      </c>
      <c r="B53" s="47" t="s">
        <v>68</v>
      </c>
      <c r="C53" s="48">
        <v>5107170</v>
      </c>
      <c r="D53" s="20">
        <f t="shared" si="9"/>
        <v>0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outlineLevel="1" x14ac:dyDescent="0.3">
      <c r="A54" s="19" t="s">
        <v>75</v>
      </c>
      <c r="B54" s="47" t="s">
        <v>68</v>
      </c>
      <c r="C54" s="48">
        <v>5107180</v>
      </c>
      <c r="D54" s="20">
        <f t="shared" si="9"/>
        <v>0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outlineLevel="1" x14ac:dyDescent="0.3">
      <c r="A55" s="40" t="s">
        <v>76</v>
      </c>
      <c r="B55" s="47" t="s">
        <v>77</v>
      </c>
      <c r="C55" s="48">
        <v>5107190</v>
      </c>
      <c r="D55" s="20">
        <f t="shared" si="9"/>
        <v>300000</v>
      </c>
      <c r="E55" s="20">
        <v>0</v>
      </c>
      <c r="F55" s="20">
        <v>300000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</row>
    <row r="56" spans="1:16" outlineLevel="1" x14ac:dyDescent="0.3">
      <c r="A56" s="19" t="s">
        <v>78</v>
      </c>
      <c r="B56" s="47" t="s">
        <v>79</v>
      </c>
      <c r="C56" s="48">
        <v>5107210</v>
      </c>
      <c r="D56" s="20">
        <f t="shared" si="9"/>
        <v>0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 x14ac:dyDescent="0.3">
      <c r="A57" s="15" t="s">
        <v>80</v>
      </c>
      <c r="B57" s="49" t="s">
        <v>3</v>
      </c>
      <c r="C57" s="50"/>
      <c r="D57" s="18">
        <f t="shared" ref="D57:P57" si="10">SUM(D58:D65)</f>
        <v>64080000</v>
      </c>
      <c r="E57" s="18">
        <f t="shared" si="10"/>
        <v>5340000</v>
      </c>
      <c r="F57" s="18">
        <f t="shared" si="10"/>
        <v>5340000</v>
      </c>
      <c r="G57" s="18">
        <f t="shared" si="10"/>
        <v>5340000</v>
      </c>
      <c r="H57" s="18">
        <f t="shared" si="10"/>
        <v>5340000</v>
      </c>
      <c r="I57" s="18">
        <f t="shared" si="10"/>
        <v>5340000</v>
      </c>
      <c r="J57" s="18">
        <f t="shared" si="10"/>
        <v>5340000</v>
      </c>
      <c r="K57" s="18">
        <f t="shared" si="10"/>
        <v>5340000</v>
      </c>
      <c r="L57" s="18">
        <f t="shared" si="10"/>
        <v>5340000</v>
      </c>
      <c r="M57" s="18">
        <f t="shared" si="10"/>
        <v>5340000</v>
      </c>
      <c r="N57" s="18">
        <f t="shared" si="10"/>
        <v>5340000</v>
      </c>
      <c r="O57" s="18">
        <f t="shared" si="10"/>
        <v>5340000</v>
      </c>
      <c r="P57" s="18">
        <f t="shared" si="10"/>
        <v>5340000</v>
      </c>
    </row>
    <row r="58" spans="1:16" outlineLevel="1" x14ac:dyDescent="0.3">
      <c r="A58" s="19" t="s">
        <v>81</v>
      </c>
      <c r="B58" s="47" t="s">
        <v>82</v>
      </c>
      <c r="C58" s="48">
        <v>5108110</v>
      </c>
      <c r="D58" s="20">
        <f t="shared" ref="D58:D65" si="11">SUM(E58:P58)</f>
        <v>55680000</v>
      </c>
      <c r="E58" s="20">
        <v>4640000</v>
      </c>
      <c r="F58" s="20">
        <v>4640000</v>
      </c>
      <c r="G58" s="20">
        <v>4640000</v>
      </c>
      <c r="H58" s="20">
        <v>4640000</v>
      </c>
      <c r="I58" s="20">
        <v>4640000</v>
      </c>
      <c r="J58" s="20">
        <v>4640000</v>
      </c>
      <c r="K58" s="20">
        <v>4640000</v>
      </c>
      <c r="L58" s="20">
        <v>4640000</v>
      </c>
      <c r="M58" s="20">
        <v>4640000</v>
      </c>
      <c r="N58" s="20">
        <v>4640000</v>
      </c>
      <c r="O58" s="20">
        <v>4640000</v>
      </c>
      <c r="P58" s="20">
        <v>4640000</v>
      </c>
    </row>
    <row r="59" spans="1:16" outlineLevel="1" x14ac:dyDescent="0.3">
      <c r="A59" s="19" t="s">
        <v>83</v>
      </c>
      <c r="B59" s="47" t="s">
        <v>82</v>
      </c>
      <c r="C59" s="48">
        <v>5108120</v>
      </c>
      <c r="D59" s="20">
        <f t="shared" si="11"/>
        <v>0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 outlineLevel="1" x14ac:dyDescent="0.3">
      <c r="A60" s="19" t="s">
        <v>84</v>
      </c>
      <c r="B60" s="47" t="s">
        <v>82</v>
      </c>
      <c r="C60" s="48">
        <v>5108130</v>
      </c>
      <c r="D60" s="20">
        <f t="shared" si="11"/>
        <v>0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 outlineLevel="1" x14ac:dyDescent="0.3">
      <c r="A61" s="19" t="s">
        <v>85</v>
      </c>
      <c r="B61" s="47" t="s">
        <v>82</v>
      </c>
      <c r="C61" s="48">
        <v>5108140</v>
      </c>
      <c r="D61" s="20">
        <f t="shared" si="11"/>
        <v>0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outlineLevel="1" x14ac:dyDescent="0.3">
      <c r="A62" s="19" t="s">
        <v>86</v>
      </c>
      <c r="B62" s="47" t="s">
        <v>87</v>
      </c>
      <c r="C62" s="48">
        <v>5108150</v>
      </c>
      <c r="D62" s="20">
        <f t="shared" si="11"/>
        <v>0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 outlineLevel="1" x14ac:dyDescent="0.3">
      <c r="A63" s="19" t="s">
        <v>88</v>
      </c>
      <c r="B63" s="47" t="s">
        <v>82</v>
      </c>
      <c r="C63" s="48">
        <v>5108160</v>
      </c>
      <c r="D63" s="20">
        <f t="shared" si="11"/>
        <v>0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 outlineLevel="1" x14ac:dyDescent="0.3">
      <c r="A64" s="19" t="s">
        <v>89</v>
      </c>
      <c r="B64" s="47" t="s">
        <v>89</v>
      </c>
      <c r="C64" s="48">
        <v>5108161</v>
      </c>
      <c r="D64" s="20">
        <f t="shared" si="11"/>
        <v>8400000</v>
      </c>
      <c r="E64" s="20">
        <v>700000</v>
      </c>
      <c r="F64" s="20">
        <v>700000</v>
      </c>
      <c r="G64" s="20">
        <v>700000</v>
      </c>
      <c r="H64" s="20">
        <v>700000</v>
      </c>
      <c r="I64" s="20">
        <v>700000</v>
      </c>
      <c r="J64" s="20">
        <v>700000</v>
      </c>
      <c r="K64" s="20">
        <v>700000</v>
      </c>
      <c r="L64" s="20">
        <v>700000</v>
      </c>
      <c r="M64" s="20">
        <v>700000</v>
      </c>
      <c r="N64" s="20">
        <v>700000</v>
      </c>
      <c r="O64" s="20">
        <v>700000</v>
      </c>
      <c r="P64" s="20">
        <v>700000</v>
      </c>
    </row>
    <row r="65" spans="1:16" outlineLevel="1" x14ac:dyDescent="0.3">
      <c r="A65" s="19" t="s">
        <v>90</v>
      </c>
      <c r="B65" s="47" t="s">
        <v>90</v>
      </c>
      <c r="C65" s="48">
        <v>5108162</v>
      </c>
      <c r="D65" s="20">
        <f t="shared" si="11"/>
        <v>0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x14ac:dyDescent="0.3">
      <c r="A66" s="15" t="s">
        <v>91</v>
      </c>
      <c r="B66" s="49" t="s">
        <v>3</v>
      </c>
      <c r="C66" s="50"/>
      <c r="D66" s="18">
        <f t="shared" ref="D66:P66" si="12">SUM(D67:D77)</f>
        <v>1969608276</v>
      </c>
      <c r="E66" s="18">
        <f t="shared" si="12"/>
        <v>164134023</v>
      </c>
      <c r="F66" s="18">
        <f t="shared" si="12"/>
        <v>164134023</v>
      </c>
      <c r="G66" s="18">
        <f t="shared" si="12"/>
        <v>164134023</v>
      </c>
      <c r="H66" s="18">
        <f t="shared" si="12"/>
        <v>164134023</v>
      </c>
      <c r="I66" s="18">
        <f t="shared" si="12"/>
        <v>164134023</v>
      </c>
      <c r="J66" s="18">
        <f t="shared" si="12"/>
        <v>164134023</v>
      </c>
      <c r="K66" s="18">
        <f t="shared" si="12"/>
        <v>164134023</v>
      </c>
      <c r="L66" s="18">
        <f t="shared" si="12"/>
        <v>164134023</v>
      </c>
      <c r="M66" s="18">
        <f t="shared" si="12"/>
        <v>164134023</v>
      </c>
      <c r="N66" s="18">
        <f t="shared" si="12"/>
        <v>164134023</v>
      </c>
      <c r="O66" s="18">
        <f t="shared" si="12"/>
        <v>164134023</v>
      </c>
      <c r="P66" s="18">
        <f t="shared" si="12"/>
        <v>164134023</v>
      </c>
    </row>
    <row r="67" spans="1:16" outlineLevel="1" x14ac:dyDescent="0.3">
      <c r="A67" s="19" t="s">
        <v>92</v>
      </c>
      <c r="B67" s="47" t="s">
        <v>93</v>
      </c>
      <c r="C67" s="48">
        <v>5109110</v>
      </c>
      <c r="D67" s="20">
        <f t="shared" ref="D67:D77" si="13">SUM(E67:P67)</f>
        <v>1526267556</v>
      </c>
      <c r="E67" s="30">
        <v>127188963</v>
      </c>
      <c r="F67" s="20">
        <v>127188963</v>
      </c>
      <c r="G67" s="20">
        <v>127188963</v>
      </c>
      <c r="H67" s="20">
        <v>127188963</v>
      </c>
      <c r="I67" s="20">
        <v>127188963</v>
      </c>
      <c r="J67" s="20">
        <v>127188963</v>
      </c>
      <c r="K67" s="20">
        <v>127188963</v>
      </c>
      <c r="L67" s="20">
        <v>127188963</v>
      </c>
      <c r="M67" s="20">
        <v>127188963</v>
      </c>
      <c r="N67" s="20">
        <v>127188963</v>
      </c>
      <c r="O67" s="20">
        <v>127188963</v>
      </c>
      <c r="P67" s="20">
        <v>127188963</v>
      </c>
    </row>
    <row r="68" spans="1:16" outlineLevel="1" x14ac:dyDescent="0.3">
      <c r="A68" s="19" t="s">
        <v>94</v>
      </c>
      <c r="B68" s="47" t="s">
        <v>93</v>
      </c>
      <c r="C68" s="48">
        <v>5109120</v>
      </c>
      <c r="D68" s="20">
        <f t="shared" si="13"/>
        <v>0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1:16" outlineLevel="1" x14ac:dyDescent="0.3">
      <c r="A69" s="19" t="s">
        <v>95</v>
      </c>
      <c r="B69" s="47" t="s">
        <v>93</v>
      </c>
      <c r="C69" s="48">
        <v>5109130</v>
      </c>
      <c r="D69" s="20">
        <f t="shared" si="13"/>
        <v>25102104</v>
      </c>
      <c r="E69" s="20">
        <v>2091842</v>
      </c>
      <c r="F69" s="20">
        <v>2091842</v>
      </c>
      <c r="G69" s="20">
        <v>2091842</v>
      </c>
      <c r="H69" s="20">
        <v>2091842</v>
      </c>
      <c r="I69" s="20">
        <v>2091842</v>
      </c>
      <c r="J69" s="20">
        <v>2091842</v>
      </c>
      <c r="K69" s="20">
        <v>2091842</v>
      </c>
      <c r="L69" s="20">
        <v>2091842</v>
      </c>
      <c r="M69" s="20">
        <v>2091842</v>
      </c>
      <c r="N69" s="20">
        <v>2091842</v>
      </c>
      <c r="O69" s="20">
        <v>2091842</v>
      </c>
      <c r="P69" s="20">
        <v>2091842</v>
      </c>
    </row>
    <row r="70" spans="1:16" outlineLevel="1" x14ac:dyDescent="0.3">
      <c r="A70" s="22" t="s">
        <v>96</v>
      </c>
      <c r="B70" s="47" t="s">
        <v>93</v>
      </c>
      <c r="C70" s="48">
        <v>5109140</v>
      </c>
      <c r="D70" s="20">
        <f t="shared" si="13"/>
        <v>0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outlineLevel="1" x14ac:dyDescent="0.3">
      <c r="A71" s="19" t="s">
        <v>97</v>
      </c>
      <c r="B71" s="47" t="s">
        <v>93</v>
      </c>
      <c r="C71" s="48">
        <v>5109150</v>
      </c>
      <c r="D71" s="20">
        <f t="shared" si="13"/>
        <v>13619004</v>
      </c>
      <c r="E71" s="20">
        <v>1134917</v>
      </c>
      <c r="F71" s="20">
        <v>1134917</v>
      </c>
      <c r="G71" s="20">
        <v>1134917</v>
      </c>
      <c r="H71" s="20">
        <v>1134917</v>
      </c>
      <c r="I71" s="20">
        <v>1134917</v>
      </c>
      <c r="J71" s="20">
        <v>1134917</v>
      </c>
      <c r="K71" s="20">
        <v>1134917</v>
      </c>
      <c r="L71" s="20">
        <v>1134917</v>
      </c>
      <c r="M71" s="20">
        <v>1134917</v>
      </c>
      <c r="N71" s="20">
        <v>1134917</v>
      </c>
      <c r="O71" s="20">
        <v>1134917</v>
      </c>
      <c r="P71" s="20">
        <v>1134917</v>
      </c>
    </row>
    <row r="72" spans="1:16" outlineLevel="1" x14ac:dyDescent="0.3">
      <c r="A72" s="19" t="s">
        <v>98</v>
      </c>
      <c r="B72" s="47" t="s">
        <v>93</v>
      </c>
      <c r="C72" s="48">
        <v>5109160</v>
      </c>
      <c r="D72" s="20">
        <f t="shared" si="13"/>
        <v>0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 outlineLevel="1" x14ac:dyDescent="0.3">
      <c r="A73" s="19" t="s">
        <v>99</v>
      </c>
      <c r="B73" s="47" t="s">
        <v>93</v>
      </c>
      <c r="C73" s="48">
        <v>5109170</v>
      </c>
      <c r="D73" s="20">
        <f t="shared" si="13"/>
        <v>404619612</v>
      </c>
      <c r="E73" s="20">
        <v>33718301</v>
      </c>
      <c r="F73" s="20">
        <v>33718301</v>
      </c>
      <c r="G73" s="20">
        <v>33718301</v>
      </c>
      <c r="H73" s="20">
        <v>33718301</v>
      </c>
      <c r="I73" s="20">
        <v>33718301</v>
      </c>
      <c r="J73" s="20">
        <v>33718301</v>
      </c>
      <c r="K73" s="20">
        <v>33718301</v>
      </c>
      <c r="L73" s="20">
        <v>33718301</v>
      </c>
      <c r="M73" s="20">
        <v>33718301</v>
      </c>
      <c r="N73" s="20">
        <v>33718301</v>
      </c>
      <c r="O73" s="20">
        <v>33718301</v>
      </c>
      <c r="P73" s="20">
        <v>33718301</v>
      </c>
    </row>
    <row r="74" spans="1:16" outlineLevel="1" x14ac:dyDescent="0.3">
      <c r="A74" s="19" t="s">
        <v>100</v>
      </c>
      <c r="B74" s="47" t="s">
        <v>93</v>
      </c>
      <c r="C74" s="48">
        <v>5109180</v>
      </c>
      <c r="D74" s="20">
        <f t="shared" si="13"/>
        <v>0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outlineLevel="1" x14ac:dyDescent="0.3">
      <c r="A75" s="19" t="s">
        <v>101</v>
      </c>
      <c r="B75" s="47" t="s">
        <v>93</v>
      </c>
      <c r="C75" s="48">
        <v>5109190</v>
      </c>
      <c r="D75" s="20">
        <f t="shared" si="13"/>
        <v>0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 outlineLevel="1" x14ac:dyDescent="0.3">
      <c r="A76" s="19" t="s">
        <v>102</v>
      </c>
      <c r="B76" s="47" t="s">
        <v>93</v>
      </c>
      <c r="C76" s="48">
        <v>5109210</v>
      </c>
      <c r="D76" s="20">
        <f t="shared" si="13"/>
        <v>0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outlineLevel="1" x14ac:dyDescent="0.3">
      <c r="A77" s="19" t="s">
        <v>103</v>
      </c>
      <c r="B77" s="47" t="s">
        <v>93</v>
      </c>
      <c r="C77" s="48">
        <v>5109220</v>
      </c>
      <c r="D77" s="20">
        <f t="shared" si="13"/>
        <v>0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6" x14ac:dyDescent="0.3">
      <c r="A78" s="15" t="s">
        <v>104</v>
      </c>
      <c r="B78" s="49" t="s">
        <v>3</v>
      </c>
      <c r="C78" s="50"/>
      <c r="D78" s="18">
        <f t="shared" ref="D78:P78" si="14">SUM(D79:D84)</f>
        <v>84000000</v>
      </c>
      <c r="E78" s="18">
        <f t="shared" si="14"/>
        <v>3500000</v>
      </c>
      <c r="F78" s="18">
        <f t="shared" si="14"/>
        <v>3500000</v>
      </c>
      <c r="G78" s="18">
        <f t="shared" si="14"/>
        <v>3500000</v>
      </c>
      <c r="H78" s="18">
        <f t="shared" si="14"/>
        <v>23500000</v>
      </c>
      <c r="I78" s="18">
        <f t="shared" si="14"/>
        <v>3500000</v>
      </c>
      <c r="J78" s="18">
        <f t="shared" si="14"/>
        <v>8500000</v>
      </c>
      <c r="K78" s="18">
        <f t="shared" si="14"/>
        <v>15500000</v>
      </c>
      <c r="L78" s="18">
        <f t="shared" si="14"/>
        <v>3500000</v>
      </c>
      <c r="M78" s="18">
        <f t="shared" si="14"/>
        <v>3500000</v>
      </c>
      <c r="N78" s="18">
        <f t="shared" si="14"/>
        <v>3500000</v>
      </c>
      <c r="O78" s="18">
        <f t="shared" si="14"/>
        <v>3500000</v>
      </c>
      <c r="P78" s="18">
        <f t="shared" si="14"/>
        <v>8500000</v>
      </c>
    </row>
    <row r="79" spans="1:16" outlineLevel="1" x14ac:dyDescent="0.3">
      <c r="A79" s="19" t="s">
        <v>105</v>
      </c>
      <c r="B79" s="47" t="s">
        <v>106</v>
      </c>
      <c r="C79" s="48">
        <v>5110110</v>
      </c>
      <c r="D79" s="20">
        <f t="shared" ref="D79:D84" si="15">SUM(E79:P79)</f>
        <v>68000000</v>
      </c>
      <c r="E79" s="20">
        <v>3000000</v>
      </c>
      <c r="F79" s="20">
        <v>3000000</v>
      </c>
      <c r="G79" s="20">
        <v>3000000</v>
      </c>
      <c r="H79" s="20">
        <v>23000000</v>
      </c>
      <c r="I79" s="20">
        <v>3000000</v>
      </c>
      <c r="J79" s="20">
        <v>3000000</v>
      </c>
      <c r="K79" s="20">
        <v>15000000</v>
      </c>
      <c r="L79" s="20">
        <v>3000000</v>
      </c>
      <c r="M79" s="20">
        <v>3000000</v>
      </c>
      <c r="N79" s="20">
        <v>3000000</v>
      </c>
      <c r="O79" s="20">
        <v>3000000</v>
      </c>
      <c r="P79" s="20">
        <v>3000000</v>
      </c>
    </row>
    <row r="80" spans="1:16" outlineLevel="1" x14ac:dyDescent="0.3">
      <c r="A80" s="19" t="s">
        <v>107</v>
      </c>
      <c r="B80" s="47" t="s">
        <v>106</v>
      </c>
      <c r="C80" s="48">
        <v>5110120</v>
      </c>
      <c r="D80" s="20">
        <f t="shared" si="15"/>
        <v>0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pans="1:16" outlineLevel="1" x14ac:dyDescent="0.3">
      <c r="A81" s="19" t="s">
        <v>108</v>
      </c>
      <c r="B81" s="47" t="s">
        <v>106</v>
      </c>
      <c r="C81" s="48">
        <v>5110130</v>
      </c>
      <c r="D81" s="20">
        <f t="shared" si="15"/>
        <v>0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outlineLevel="1" x14ac:dyDescent="0.3">
      <c r="A82" s="19" t="s">
        <v>109</v>
      </c>
      <c r="B82" s="47" t="s">
        <v>106</v>
      </c>
      <c r="C82" s="48">
        <v>5110140</v>
      </c>
      <c r="D82" s="20">
        <f t="shared" si="15"/>
        <v>0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pans="1:16" outlineLevel="1" x14ac:dyDescent="0.3">
      <c r="A83" s="19" t="s">
        <v>110</v>
      </c>
      <c r="B83" s="47" t="s">
        <v>111</v>
      </c>
      <c r="C83" s="48">
        <v>5110150</v>
      </c>
      <c r="D83" s="20">
        <f t="shared" si="15"/>
        <v>16000000</v>
      </c>
      <c r="E83" s="20">
        <v>500000</v>
      </c>
      <c r="F83" s="20">
        <v>500000</v>
      </c>
      <c r="G83" s="20">
        <v>500000</v>
      </c>
      <c r="H83" s="20">
        <v>500000</v>
      </c>
      <c r="I83" s="20">
        <v>500000</v>
      </c>
      <c r="J83" s="20">
        <v>5500000</v>
      </c>
      <c r="K83" s="20">
        <v>500000</v>
      </c>
      <c r="L83" s="20">
        <v>500000</v>
      </c>
      <c r="M83" s="20">
        <v>500000</v>
      </c>
      <c r="N83" s="20">
        <v>500000</v>
      </c>
      <c r="O83" s="20">
        <v>500000</v>
      </c>
      <c r="P83" s="20">
        <v>5500000</v>
      </c>
    </row>
    <row r="84" spans="1:16" outlineLevel="1" x14ac:dyDescent="0.3">
      <c r="A84" s="19" t="s">
        <v>112</v>
      </c>
      <c r="B84" s="47" t="s">
        <v>111</v>
      </c>
      <c r="C84" s="48" t="s">
        <v>113</v>
      </c>
      <c r="D84" s="20">
        <f t="shared" si="15"/>
        <v>0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pans="1:16" x14ac:dyDescent="0.3">
      <c r="A85" s="15" t="s">
        <v>114</v>
      </c>
      <c r="B85" s="49" t="s">
        <v>3</v>
      </c>
      <c r="C85" s="50"/>
      <c r="D85" s="18">
        <f t="shared" ref="D85:P85" si="16">SUM(D86:D92)</f>
        <v>14677080</v>
      </c>
      <c r="E85" s="18">
        <f t="shared" si="16"/>
        <v>1223090</v>
      </c>
      <c r="F85" s="18">
        <f t="shared" si="16"/>
        <v>1223090</v>
      </c>
      <c r="G85" s="18">
        <f t="shared" si="16"/>
        <v>1223090</v>
      </c>
      <c r="H85" s="18">
        <f t="shared" si="16"/>
        <v>1223090</v>
      </c>
      <c r="I85" s="18">
        <f t="shared" si="16"/>
        <v>1223090</v>
      </c>
      <c r="J85" s="18">
        <f t="shared" si="16"/>
        <v>1223090</v>
      </c>
      <c r="K85" s="18">
        <f t="shared" si="16"/>
        <v>1223090</v>
      </c>
      <c r="L85" s="18">
        <f t="shared" si="16"/>
        <v>1223090</v>
      </c>
      <c r="M85" s="18">
        <f t="shared" si="16"/>
        <v>1223090</v>
      </c>
      <c r="N85" s="18">
        <f t="shared" si="16"/>
        <v>1223090</v>
      </c>
      <c r="O85" s="18">
        <f t="shared" si="16"/>
        <v>1223090</v>
      </c>
      <c r="P85" s="18">
        <f t="shared" si="16"/>
        <v>1223090</v>
      </c>
    </row>
    <row r="86" spans="1:16" outlineLevel="1" x14ac:dyDescent="0.3">
      <c r="A86" s="19" t="s">
        <v>115</v>
      </c>
      <c r="B86" s="47" t="s">
        <v>116</v>
      </c>
      <c r="C86" s="48">
        <v>5111110</v>
      </c>
      <c r="D86" s="20">
        <f t="shared" ref="D86:D92" si="17">SUM(E86:P86)</f>
        <v>8636160</v>
      </c>
      <c r="E86" s="64">
        <v>719680</v>
      </c>
      <c r="F86" s="64">
        <v>719680</v>
      </c>
      <c r="G86" s="64">
        <v>719680</v>
      </c>
      <c r="H86" s="64">
        <v>719680</v>
      </c>
      <c r="I86" s="64">
        <v>719680</v>
      </c>
      <c r="J86" s="64">
        <v>719680</v>
      </c>
      <c r="K86" s="64">
        <v>719680</v>
      </c>
      <c r="L86" s="64">
        <v>719680</v>
      </c>
      <c r="M86" s="64">
        <v>719680</v>
      </c>
      <c r="N86" s="64">
        <v>719680</v>
      </c>
      <c r="O86" s="64">
        <v>719680</v>
      </c>
      <c r="P86" s="64">
        <v>719680</v>
      </c>
    </row>
    <row r="87" spans="1:16" outlineLevel="1" x14ac:dyDescent="0.3">
      <c r="A87" s="19" t="s">
        <v>117</v>
      </c>
      <c r="B87" s="47" t="s">
        <v>116</v>
      </c>
      <c r="C87" s="48">
        <v>5111120</v>
      </c>
      <c r="D87" s="20">
        <f t="shared" si="17"/>
        <v>4527576</v>
      </c>
      <c r="E87" s="64">
        <v>377298</v>
      </c>
      <c r="F87" s="64">
        <v>377298</v>
      </c>
      <c r="G87" s="64">
        <v>377298</v>
      </c>
      <c r="H87" s="64">
        <v>377298</v>
      </c>
      <c r="I87" s="64">
        <v>377298</v>
      </c>
      <c r="J87" s="64">
        <v>377298</v>
      </c>
      <c r="K87" s="64">
        <v>377298</v>
      </c>
      <c r="L87" s="64">
        <v>377298</v>
      </c>
      <c r="M87" s="64">
        <v>377298</v>
      </c>
      <c r="N87" s="64">
        <v>377298</v>
      </c>
      <c r="O87" s="64">
        <v>377298</v>
      </c>
      <c r="P87" s="64">
        <v>377298</v>
      </c>
    </row>
    <row r="88" spans="1:16" outlineLevel="1" x14ac:dyDescent="0.3">
      <c r="A88" s="19" t="s">
        <v>118</v>
      </c>
      <c r="B88" s="47" t="s">
        <v>116</v>
      </c>
      <c r="C88" s="48">
        <v>5111130</v>
      </c>
      <c r="D88" s="20">
        <f t="shared" si="17"/>
        <v>1513344</v>
      </c>
      <c r="E88" s="64">
        <v>126112</v>
      </c>
      <c r="F88" s="64">
        <v>126112</v>
      </c>
      <c r="G88" s="64">
        <v>126112</v>
      </c>
      <c r="H88" s="64">
        <v>126112</v>
      </c>
      <c r="I88" s="64">
        <v>126112</v>
      </c>
      <c r="J88" s="64">
        <v>126112</v>
      </c>
      <c r="K88" s="64">
        <v>126112</v>
      </c>
      <c r="L88" s="64">
        <v>126112</v>
      </c>
      <c r="M88" s="64">
        <v>126112</v>
      </c>
      <c r="N88" s="64">
        <v>126112</v>
      </c>
      <c r="O88" s="64">
        <v>126112</v>
      </c>
      <c r="P88" s="64">
        <v>126112</v>
      </c>
    </row>
    <row r="89" spans="1:16" outlineLevel="1" x14ac:dyDescent="0.3">
      <c r="A89" s="19" t="s">
        <v>119</v>
      </c>
      <c r="B89" s="47" t="s">
        <v>116</v>
      </c>
      <c r="C89" s="48">
        <v>5111140</v>
      </c>
      <c r="D89" s="20">
        <f t="shared" si="17"/>
        <v>0</v>
      </c>
      <c r="E89" s="20"/>
      <c r="F89" s="20"/>
      <c r="G89" s="31"/>
      <c r="H89" s="20"/>
      <c r="I89" s="20"/>
      <c r="J89" s="20"/>
      <c r="K89" s="20"/>
      <c r="L89" s="20"/>
      <c r="M89" s="20"/>
      <c r="N89" s="20"/>
      <c r="O89" s="20"/>
      <c r="P89" s="20"/>
    </row>
    <row r="90" spans="1:16" outlineLevel="1" x14ac:dyDescent="0.3">
      <c r="A90" s="19" t="s">
        <v>120</v>
      </c>
      <c r="B90" s="47" t="s">
        <v>116</v>
      </c>
      <c r="C90" s="48">
        <v>5111150</v>
      </c>
      <c r="D90" s="20">
        <f t="shared" si="17"/>
        <v>0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1:16" outlineLevel="1" x14ac:dyDescent="0.3">
      <c r="A91" s="19" t="s">
        <v>121</v>
      </c>
      <c r="B91" s="47" t="s">
        <v>116</v>
      </c>
      <c r="C91" s="48">
        <v>5111160</v>
      </c>
      <c r="D91" s="20">
        <f t="shared" si="17"/>
        <v>0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pans="1:16" outlineLevel="1" x14ac:dyDescent="0.3">
      <c r="A92" s="19" t="s">
        <v>122</v>
      </c>
      <c r="B92" s="47" t="s">
        <v>116</v>
      </c>
      <c r="C92" s="48">
        <v>5111141</v>
      </c>
      <c r="D92" s="20">
        <f t="shared" si="17"/>
        <v>0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x14ac:dyDescent="0.3">
      <c r="A93" s="15" t="s">
        <v>123</v>
      </c>
      <c r="B93" s="49" t="s">
        <v>3</v>
      </c>
      <c r="C93" s="50"/>
      <c r="D93" s="18">
        <f t="shared" ref="D93:P93" si="18">SUM(D94:D95)</f>
        <v>0</v>
      </c>
      <c r="E93" s="18">
        <f t="shared" si="18"/>
        <v>0</v>
      </c>
      <c r="F93" s="18">
        <f t="shared" si="18"/>
        <v>0</v>
      </c>
      <c r="G93" s="18">
        <f t="shared" si="18"/>
        <v>0</v>
      </c>
      <c r="H93" s="18">
        <f t="shared" si="18"/>
        <v>0</v>
      </c>
      <c r="I93" s="18">
        <f t="shared" si="18"/>
        <v>0</v>
      </c>
      <c r="J93" s="18">
        <f t="shared" si="18"/>
        <v>0</v>
      </c>
      <c r="K93" s="18">
        <f t="shared" si="18"/>
        <v>0</v>
      </c>
      <c r="L93" s="18">
        <f t="shared" si="18"/>
        <v>0</v>
      </c>
      <c r="M93" s="18">
        <f t="shared" si="18"/>
        <v>0</v>
      </c>
      <c r="N93" s="18">
        <f t="shared" si="18"/>
        <v>0</v>
      </c>
      <c r="O93" s="18">
        <f t="shared" si="18"/>
        <v>0</v>
      </c>
      <c r="P93" s="18">
        <f t="shared" si="18"/>
        <v>0</v>
      </c>
    </row>
    <row r="94" spans="1:16" outlineLevel="1" x14ac:dyDescent="0.3">
      <c r="A94" s="19" t="s">
        <v>124</v>
      </c>
      <c r="B94" s="47" t="s">
        <v>125</v>
      </c>
      <c r="C94" s="48">
        <v>5112110</v>
      </c>
      <c r="D94" s="20">
        <f>SUM(E94:P94)</f>
        <v>0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pans="1:16" outlineLevel="1" x14ac:dyDescent="0.3">
      <c r="A95" s="19" t="s">
        <v>126</v>
      </c>
      <c r="B95" s="47" t="s">
        <v>126</v>
      </c>
      <c r="C95" s="48">
        <v>5112120</v>
      </c>
      <c r="D95" s="20">
        <f>SUM(E95:P95)</f>
        <v>0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pans="1:16" x14ac:dyDescent="0.3">
      <c r="A96" s="15" t="s">
        <v>127</v>
      </c>
      <c r="B96" s="49" t="s">
        <v>3</v>
      </c>
      <c r="C96" s="50"/>
      <c r="D96" s="18">
        <f t="shared" ref="D96:P96" si="19">SUM(D97:D105)</f>
        <v>0</v>
      </c>
      <c r="E96" s="18">
        <f t="shared" si="19"/>
        <v>0</v>
      </c>
      <c r="F96" s="18">
        <f t="shared" si="19"/>
        <v>0</v>
      </c>
      <c r="G96" s="18">
        <f t="shared" si="19"/>
        <v>0</v>
      </c>
      <c r="H96" s="18">
        <f t="shared" si="19"/>
        <v>0</v>
      </c>
      <c r="I96" s="18">
        <f t="shared" si="19"/>
        <v>0</v>
      </c>
      <c r="J96" s="18">
        <f t="shared" si="19"/>
        <v>0</v>
      </c>
      <c r="K96" s="18">
        <f t="shared" si="19"/>
        <v>0</v>
      </c>
      <c r="L96" s="18">
        <f t="shared" si="19"/>
        <v>0</v>
      </c>
      <c r="M96" s="18">
        <f t="shared" si="19"/>
        <v>0</v>
      </c>
      <c r="N96" s="18">
        <f t="shared" si="19"/>
        <v>0</v>
      </c>
      <c r="O96" s="18">
        <f t="shared" si="19"/>
        <v>0</v>
      </c>
      <c r="P96" s="18">
        <f t="shared" si="19"/>
        <v>0</v>
      </c>
    </row>
    <row r="97" spans="1:16" outlineLevel="1" x14ac:dyDescent="0.3">
      <c r="A97" s="19" t="s">
        <v>128</v>
      </c>
      <c r="B97" s="47" t="s">
        <v>129</v>
      </c>
      <c r="C97" s="48">
        <v>5113110</v>
      </c>
      <c r="D97" s="20">
        <f t="shared" ref="D97:D105" si="20">SUM(E97:P97)</f>
        <v>0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pans="1:16" outlineLevel="1" x14ac:dyDescent="0.3">
      <c r="A98" s="19" t="s">
        <v>130</v>
      </c>
      <c r="B98" s="47" t="s">
        <v>131</v>
      </c>
      <c r="C98" s="48">
        <v>5113120</v>
      </c>
      <c r="D98" s="20">
        <f t="shared" si="20"/>
        <v>0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pans="1:16" outlineLevel="1" x14ac:dyDescent="0.3">
      <c r="A99" s="19" t="s">
        <v>132</v>
      </c>
      <c r="B99" s="47" t="s">
        <v>133</v>
      </c>
      <c r="C99" s="48">
        <v>5113130</v>
      </c>
      <c r="D99" s="20">
        <f t="shared" si="20"/>
        <v>0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pans="1:16" outlineLevel="1" x14ac:dyDescent="0.3">
      <c r="A100" s="19" t="s">
        <v>134</v>
      </c>
      <c r="B100" s="47" t="s">
        <v>133</v>
      </c>
      <c r="C100" s="48">
        <v>5113140</v>
      </c>
      <c r="D100" s="20">
        <f t="shared" si="20"/>
        <v>0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pans="1:16" outlineLevel="1" x14ac:dyDescent="0.3">
      <c r="A101" s="19" t="s">
        <v>135</v>
      </c>
      <c r="B101" s="47" t="s">
        <v>136</v>
      </c>
      <c r="C101" s="48">
        <v>5113150</v>
      </c>
      <c r="D101" s="20">
        <f t="shared" si="20"/>
        <v>0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1:16" outlineLevel="1" x14ac:dyDescent="0.3">
      <c r="A102" s="19" t="s">
        <v>137</v>
      </c>
      <c r="B102" s="47" t="s">
        <v>133</v>
      </c>
      <c r="C102" s="48"/>
      <c r="D102" s="20">
        <f t="shared" si="20"/>
        <v>0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1:16" outlineLevel="1" x14ac:dyDescent="0.3">
      <c r="A103" s="19" t="s">
        <v>138</v>
      </c>
      <c r="B103" s="47" t="s">
        <v>133</v>
      </c>
      <c r="C103" s="48">
        <v>5113170</v>
      </c>
      <c r="D103" s="20">
        <f t="shared" si="20"/>
        <v>0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outlineLevel="1" x14ac:dyDescent="0.3">
      <c r="A104" s="19" t="s">
        <v>139</v>
      </c>
      <c r="B104" s="47" t="s">
        <v>3</v>
      </c>
      <c r="C104" s="48">
        <v>5113210</v>
      </c>
      <c r="D104" s="20">
        <f t="shared" si="20"/>
        <v>0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outlineLevel="1" x14ac:dyDescent="0.3">
      <c r="A105" s="19" t="s">
        <v>140</v>
      </c>
      <c r="B105" s="51" t="s">
        <v>141</v>
      </c>
      <c r="C105" s="48">
        <v>5113160</v>
      </c>
      <c r="D105" s="20">
        <f t="shared" si="20"/>
        <v>0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pans="1:16" x14ac:dyDescent="0.3">
      <c r="A106" s="15" t="s">
        <v>142</v>
      </c>
      <c r="B106" s="49" t="s">
        <v>3</v>
      </c>
      <c r="C106" s="50"/>
      <c r="D106" s="18">
        <f t="shared" ref="D106:P106" si="21">D107</f>
        <v>0</v>
      </c>
      <c r="E106" s="18">
        <f t="shared" si="21"/>
        <v>0</v>
      </c>
      <c r="F106" s="18">
        <f t="shared" si="21"/>
        <v>0</v>
      </c>
      <c r="G106" s="18">
        <f t="shared" si="21"/>
        <v>0</v>
      </c>
      <c r="H106" s="18">
        <f t="shared" si="21"/>
        <v>0</v>
      </c>
      <c r="I106" s="18">
        <f t="shared" si="21"/>
        <v>0</v>
      </c>
      <c r="J106" s="18">
        <f t="shared" si="21"/>
        <v>0</v>
      </c>
      <c r="K106" s="18">
        <f t="shared" si="21"/>
        <v>0</v>
      </c>
      <c r="L106" s="18">
        <f t="shared" si="21"/>
        <v>0</v>
      </c>
      <c r="M106" s="18">
        <f t="shared" si="21"/>
        <v>0</v>
      </c>
      <c r="N106" s="18">
        <f t="shared" si="21"/>
        <v>0</v>
      </c>
      <c r="O106" s="18">
        <f t="shared" si="21"/>
        <v>0</v>
      </c>
      <c r="P106" s="18">
        <f t="shared" si="21"/>
        <v>0</v>
      </c>
    </row>
    <row r="107" spans="1:16" outlineLevel="1" x14ac:dyDescent="0.3">
      <c r="A107" s="19" t="s">
        <v>143</v>
      </c>
      <c r="B107" s="47" t="s">
        <v>144</v>
      </c>
      <c r="C107" s="48">
        <v>5115110</v>
      </c>
      <c r="D107" s="20">
        <f>SUM(E107:P107)</f>
        <v>0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spans="1:16" x14ac:dyDescent="0.3">
      <c r="A108" s="15" t="s">
        <v>145</v>
      </c>
      <c r="B108" s="49" t="s">
        <v>3</v>
      </c>
      <c r="C108" s="50"/>
      <c r="D108" s="18">
        <f t="shared" ref="D108:P108" si="22">SUM(D109:D115)</f>
        <v>1920000</v>
      </c>
      <c r="E108" s="18">
        <f t="shared" si="22"/>
        <v>160000</v>
      </c>
      <c r="F108" s="18">
        <f t="shared" si="22"/>
        <v>160000</v>
      </c>
      <c r="G108" s="18">
        <f t="shared" si="22"/>
        <v>160000</v>
      </c>
      <c r="H108" s="18">
        <f t="shared" si="22"/>
        <v>160000</v>
      </c>
      <c r="I108" s="18">
        <f t="shared" si="22"/>
        <v>160000</v>
      </c>
      <c r="J108" s="18">
        <f t="shared" si="22"/>
        <v>160000</v>
      </c>
      <c r="K108" s="18">
        <f t="shared" si="22"/>
        <v>160000</v>
      </c>
      <c r="L108" s="18">
        <f t="shared" si="22"/>
        <v>160000</v>
      </c>
      <c r="M108" s="18">
        <f t="shared" si="22"/>
        <v>160000</v>
      </c>
      <c r="N108" s="18">
        <f t="shared" si="22"/>
        <v>160000</v>
      </c>
      <c r="O108" s="18">
        <f t="shared" si="22"/>
        <v>160000</v>
      </c>
      <c r="P108" s="18">
        <f t="shared" si="22"/>
        <v>160000</v>
      </c>
    </row>
    <row r="109" spans="1:16" outlineLevel="1" x14ac:dyDescent="0.3">
      <c r="A109" s="19" t="s">
        <v>146</v>
      </c>
      <c r="B109" s="47" t="s">
        <v>147</v>
      </c>
      <c r="C109" s="48">
        <v>5116110</v>
      </c>
      <c r="D109" s="20">
        <f t="shared" ref="D109:D115" si="23">SUM(E109:P109)</f>
        <v>0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spans="1:16" outlineLevel="1" x14ac:dyDescent="0.3">
      <c r="A110" s="19" t="s">
        <v>148</v>
      </c>
      <c r="B110" s="47" t="s">
        <v>147</v>
      </c>
      <c r="C110" s="48">
        <v>5116120</v>
      </c>
      <c r="D110" s="20">
        <f t="shared" si="23"/>
        <v>0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1:16" outlineLevel="1" x14ac:dyDescent="0.3">
      <c r="A111" s="19" t="s">
        <v>149</v>
      </c>
      <c r="B111" s="47" t="s">
        <v>150</v>
      </c>
      <c r="C111" s="48">
        <v>5116130</v>
      </c>
      <c r="D111" s="20">
        <f t="shared" si="23"/>
        <v>1440000</v>
      </c>
      <c r="E111" s="20">
        <v>120000</v>
      </c>
      <c r="F111" s="20">
        <v>120000</v>
      </c>
      <c r="G111" s="20">
        <v>120000</v>
      </c>
      <c r="H111" s="20">
        <v>120000</v>
      </c>
      <c r="I111" s="20">
        <v>120000</v>
      </c>
      <c r="J111" s="20">
        <v>120000</v>
      </c>
      <c r="K111" s="20">
        <v>120000</v>
      </c>
      <c r="L111" s="20">
        <v>120000</v>
      </c>
      <c r="M111" s="20">
        <v>120000</v>
      </c>
      <c r="N111" s="20">
        <v>120000</v>
      </c>
      <c r="O111" s="20">
        <v>120000</v>
      </c>
      <c r="P111" s="20">
        <v>120000</v>
      </c>
    </row>
    <row r="112" spans="1:16" outlineLevel="1" x14ac:dyDescent="0.3">
      <c r="A112" s="19" t="s">
        <v>151</v>
      </c>
      <c r="B112" s="47" t="s">
        <v>147</v>
      </c>
      <c r="C112" s="48">
        <v>5116140</v>
      </c>
      <c r="D112" s="20">
        <f t="shared" si="23"/>
        <v>0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spans="1:16" outlineLevel="1" x14ac:dyDescent="0.3">
      <c r="A113" s="19" t="s">
        <v>152</v>
      </c>
      <c r="B113" s="47" t="s">
        <v>150</v>
      </c>
      <c r="C113" s="48">
        <v>5116150</v>
      </c>
      <c r="D113" s="20">
        <f t="shared" si="23"/>
        <v>360000</v>
      </c>
      <c r="E113" s="20">
        <v>30000</v>
      </c>
      <c r="F113" s="20">
        <v>30000</v>
      </c>
      <c r="G113" s="20">
        <v>30000</v>
      </c>
      <c r="H113" s="20">
        <v>30000</v>
      </c>
      <c r="I113" s="20">
        <v>30000</v>
      </c>
      <c r="J113" s="20">
        <v>30000</v>
      </c>
      <c r="K113" s="20">
        <v>30000</v>
      </c>
      <c r="L113" s="20">
        <v>30000</v>
      </c>
      <c r="M113" s="20">
        <v>30000</v>
      </c>
      <c r="N113" s="20">
        <v>30000</v>
      </c>
      <c r="O113" s="20">
        <v>30000</v>
      </c>
      <c r="P113" s="20">
        <v>30000</v>
      </c>
    </row>
    <row r="114" spans="1:16" outlineLevel="1" x14ac:dyDescent="0.3">
      <c r="A114" s="19" t="s">
        <v>153</v>
      </c>
      <c r="B114" s="47" t="s">
        <v>147</v>
      </c>
      <c r="C114" s="48">
        <v>5116160</v>
      </c>
      <c r="D114" s="20">
        <f t="shared" si="23"/>
        <v>0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1:16" outlineLevel="1" x14ac:dyDescent="0.3">
      <c r="A115" s="19" t="s">
        <v>154</v>
      </c>
      <c r="B115" s="47" t="s">
        <v>147</v>
      </c>
      <c r="C115" s="48">
        <v>5116111</v>
      </c>
      <c r="D115" s="20">
        <f t="shared" si="23"/>
        <v>120000</v>
      </c>
      <c r="E115" s="20">
        <v>10000</v>
      </c>
      <c r="F115" s="20">
        <v>10000</v>
      </c>
      <c r="G115" s="20">
        <v>10000</v>
      </c>
      <c r="H115" s="20">
        <v>10000</v>
      </c>
      <c r="I115" s="20">
        <v>10000</v>
      </c>
      <c r="J115" s="20">
        <v>10000</v>
      </c>
      <c r="K115" s="20">
        <v>10000</v>
      </c>
      <c r="L115" s="20">
        <v>10000</v>
      </c>
      <c r="M115" s="20">
        <v>10000</v>
      </c>
      <c r="N115" s="20">
        <v>10000</v>
      </c>
      <c r="O115" s="20">
        <v>10000</v>
      </c>
      <c r="P115" s="20">
        <v>10000</v>
      </c>
    </row>
    <row r="116" spans="1:16" x14ac:dyDescent="0.3">
      <c r="A116" s="15" t="s">
        <v>155</v>
      </c>
      <c r="B116" s="49" t="s">
        <v>3</v>
      </c>
      <c r="C116" s="50"/>
      <c r="D116" s="18">
        <f t="shared" ref="D116:P116" si="24">D117</f>
        <v>0</v>
      </c>
      <c r="E116" s="18">
        <f t="shared" si="24"/>
        <v>0</v>
      </c>
      <c r="F116" s="18">
        <f t="shared" si="24"/>
        <v>0</v>
      </c>
      <c r="G116" s="18">
        <f t="shared" si="24"/>
        <v>0</v>
      </c>
      <c r="H116" s="18">
        <f t="shared" si="24"/>
        <v>0</v>
      </c>
      <c r="I116" s="18">
        <f t="shared" si="24"/>
        <v>0</v>
      </c>
      <c r="J116" s="18">
        <f t="shared" si="24"/>
        <v>0</v>
      </c>
      <c r="K116" s="18">
        <f t="shared" si="24"/>
        <v>0</v>
      </c>
      <c r="L116" s="18">
        <f t="shared" si="24"/>
        <v>0</v>
      </c>
      <c r="M116" s="18">
        <f t="shared" si="24"/>
        <v>0</v>
      </c>
      <c r="N116" s="18">
        <f t="shared" si="24"/>
        <v>0</v>
      </c>
      <c r="O116" s="18">
        <f t="shared" si="24"/>
        <v>0</v>
      </c>
      <c r="P116" s="18">
        <f t="shared" si="24"/>
        <v>0</v>
      </c>
    </row>
    <row r="117" spans="1:16" outlineLevel="1" x14ac:dyDescent="0.3">
      <c r="A117" s="19" t="s">
        <v>156</v>
      </c>
      <c r="B117" s="47" t="s">
        <v>157</v>
      </c>
      <c r="C117" s="48">
        <v>5117110</v>
      </c>
      <c r="D117" s="20">
        <f>SUM(E117:P117)</f>
        <v>0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spans="1:16" x14ac:dyDescent="0.3">
      <c r="A118" s="15" t="s">
        <v>158</v>
      </c>
      <c r="B118" s="49" t="s">
        <v>3</v>
      </c>
      <c r="C118" s="50"/>
      <c r="D118" s="18">
        <f t="shared" ref="D118:P118" si="25">SUM(D119:D123)</f>
        <v>1200000</v>
      </c>
      <c r="E118" s="18">
        <f t="shared" si="25"/>
        <v>0</v>
      </c>
      <c r="F118" s="18">
        <f t="shared" si="25"/>
        <v>0</v>
      </c>
      <c r="G118" s="18">
        <f t="shared" si="25"/>
        <v>300000</v>
      </c>
      <c r="H118" s="18">
        <f t="shared" si="25"/>
        <v>0</v>
      </c>
      <c r="I118" s="18">
        <f t="shared" si="25"/>
        <v>0</v>
      </c>
      <c r="J118" s="18">
        <f t="shared" si="25"/>
        <v>300000</v>
      </c>
      <c r="K118" s="18">
        <f t="shared" si="25"/>
        <v>0</v>
      </c>
      <c r="L118" s="18">
        <f t="shared" si="25"/>
        <v>0</v>
      </c>
      <c r="M118" s="18">
        <f t="shared" si="25"/>
        <v>300000</v>
      </c>
      <c r="N118" s="18">
        <f t="shared" si="25"/>
        <v>0</v>
      </c>
      <c r="O118" s="18">
        <f t="shared" si="25"/>
        <v>0</v>
      </c>
      <c r="P118" s="18">
        <f t="shared" si="25"/>
        <v>300000</v>
      </c>
    </row>
    <row r="119" spans="1:16" outlineLevel="1" x14ac:dyDescent="0.3">
      <c r="A119" s="19" t="s">
        <v>159</v>
      </c>
      <c r="B119" s="47" t="s">
        <v>160</v>
      </c>
      <c r="C119" s="48">
        <v>5118110</v>
      </c>
      <c r="D119" s="20">
        <f>SUM(E119:P119)</f>
        <v>0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spans="1:16" outlineLevel="1" x14ac:dyDescent="0.3">
      <c r="A120" s="19" t="s">
        <v>161</v>
      </c>
      <c r="B120" s="47" t="s">
        <v>162</v>
      </c>
      <c r="C120" s="48">
        <v>5118120</v>
      </c>
      <c r="D120" s="20">
        <f>SUM(E120:P120)</f>
        <v>0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pans="1:16" outlineLevel="1" x14ac:dyDescent="0.3">
      <c r="A121" s="19" t="s">
        <v>163</v>
      </c>
      <c r="B121" s="47" t="s">
        <v>164</v>
      </c>
      <c r="C121" s="48">
        <v>5118130</v>
      </c>
      <c r="D121" s="20">
        <f>SUM(E121:P121)</f>
        <v>1200000</v>
      </c>
      <c r="E121" s="20">
        <v>0</v>
      </c>
      <c r="F121" s="20">
        <v>0</v>
      </c>
      <c r="G121" s="20">
        <v>300000</v>
      </c>
      <c r="H121" s="20">
        <v>0</v>
      </c>
      <c r="I121" s="20">
        <v>0</v>
      </c>
      <c r="J121" s="20">
        <v>300000</v>
      </c>
      <c r="K121" s="20">
        <v>0</v>
      </c>
      <c r="L121" s="20">
        <v>0</v>
      </c>
      <c r="M121" s="20">
        <v>300000</v>
      </c>
      <c r="N121" s="20">
        <v>0</v>
      </c>
      <c r="O121" s="20">
        <v>0</v>
      </c>
      <c r="P121" s="20">
        <v>300000</v>
      </c>
    </row>
    <row r="122" spans="1:16" outlineLevel="1" x14ac:dyDescent="0.3">
      <c r="A122" s="19" t="s">
        <v>165</v>
      </c>
      <c r="B122" s="47" t="s">
        <v>3</v>
      </c>
      <c r="C122" s="48">
        <v>5118140</v>
      </c>
      <c r="D122" s="20">
        <f>SUM(E122:P122)</f>
        <v>0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1:16" outlineLevel="1" x14ac:dyDescent="0.3">
      <c r="A123" s="19" t="s">
        <v>166</v>
      </c>
      <c r="B123" s="47" t="s">
        <v>3</v>
      </c>
      <c r="C123" s="48">
        <v>5118150</v>
      </c>
      <c r="D123" s="20">
        <f>SUM(E123:P123)</f>
        <v>0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pans="1:16" x14ac:dyDescent="0.3">
      <c r="A124" s="15" t="s">
        <v>167</v>
      </c>
      <c r="B124" s="49" t="s">
        <v>3</v>
      </c>
      <c r="C124" s="50"/>
      <c r="D124" s="18">
        <f t="shared" ref="D124:P124" si="26">SUM(D125:D126)</f>
        <v>864000</v>
      </c>
      <c r="E124" s="18">
        <f t="shared" si="26"/>
        <v>72000</v>
      </c>
      <c r="F124" s="18">
        <f t="shared" si="26"/>
        <v>72000</v>
      </c>
      <c r="G124" s="18">
        <f t="shared" si="26"/>
        <v>72000</v>
      </c>
      <c r="H124" s="18">
        <f t="shared" si="26"/>
        <v>72000</v>
      </c>
      <c r="I124" s="18">
        <f t="shared" si="26"/>
        <v>72000</v>
      </c>
      <c r="J124" s="18">
        <f t="shared" si="26"/>
        <v>72000</v>
      </c>
      <c r="K124" s="18">
        <f t="shared" si="26"/>
        <v>72000</v>
      </c>
      <c r="L124" s="18">
        <f t="shared" si="26"/>
        <v>72000</v>
      </c>
      <c r="M124" s="18">
        <f t="shared" si="26"/>
        <v>72000</v>
      </c>
      <c r="N124" s="18">
        <f t="shared" si="26"/>
        <v>72000</v>
      </c>
      <c r="O124" s="18">
        <f t="shared" si="26"/>
        <v>72000</v>
      </c>
      <c r="P124" s="18">
        <f t="shared" si="26"/>
        <v>72000</v>
      </c>
    </row>
    <row r="125" spans="1:16" outlineLevel="1" x14ac:dyDescent="0.3">
      <c r="A125" s="19" t="s">
        <v>168</v>
      </c>
      <c r="B125" s="47" t="s">
        <v>169</v>
      </c>
      <c r="C125" s="48">
        <v>5130110</v>
      </c>
      <c r="D125" s="20">
        <f>SUM(E125:P125)</f>
        <v>0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1:16" outlineLevel="1" x14ac:dyDescent="0.3">
      <c r="A126" s="19" t="s">
        <v>170</v>
      </c>
      <c r="B126" s="47" t="s">
        <v>171</v>
      </c>
      <c r="C126" s="48">
        <v>5130120</v>
      </c>
      <c r="D126" s="20">
        <f>SUM(E126:P126)</f>
        <v>864000</v>
      </c>
      <c r="E126" s="20">
        <v>72000</v>
      </c>
      <c r="F126" s="20">
        <v>72000</v>
      </c>
      <c r="G126" s="20">
        <v>72000</v>
      </c>
      <c r="H126" s="20">
        <v>72000</v>
      </c>
      <c r="I126" s="20">
        <v>72000</v>
      </c>
      <c r="J126" s="20">
        <v>72000</v>
      </c>
      <c r="K126" s="20">
        <v>72000</v>
      </c>
      <c r="L126" s="20">
        <v>72000</v>
      </c>
      <c r="M126" s="20">
        <v>72000</v>
      </c>
      <c r="N126" s="20">
        <v>72000</v>
      </c>
      <c r="O126" s="20">
        <v>72000</v>
      </c>
      <c r="P126" s="20">
        <v>72000</v>
      </c>
    </row>
    <row r="127" spans="1:16" x14ac:dyDescent="0.3">
      <c r="A127" s="15" t="s">
        <v>172</v>
      </c>
      <c r="B127" s="49" t="s">
        <v>3</v>
      </c>
      <c r="C127" s="50"/>
      <c r="D127" s="18">
        <f t="shared" ref="D127:P127" si="27">SUM(D128:D135)</f>
        <v>2300000</v>
      </c>
      <c r="E127" s="18">
        <f t="shared" si="27"/>
        <v>225000</v>
      </c>
      <c r="F127" s="18">
        <f t="shared" si="27"/>
        <v>225000</v>
      </c>
      <c r="G127" s="18">
        <f t="shared" si="27"/>
        <v>125000</v>
      </c>
      <c r="H127" s="18">
        <f t="shared" si="27"/>
        <v>225000</v>
      </c>
      <c r="I127" s="18">
        <f t="shared" si="27"/>
        <v>225000</v>
      </c>
      <c r="J127" s="18">
        <f t="shared" si="27"/>
        <v>125000</v>
      </c>
      <c r="K127" s="18">
        <f t="shared" si="27"/>
        <v>225000</v>
      </c>
      <c r="L127" s="18">
        <f t="shared" si="27"/>
        <v>225000</v>
      </c>
      <c r="M127" s="18">
        <f t="shared" si="27"/>
        <v>125000</v>
      </c>
      <c r="N127" s="18">
        <f t="shared" si="27"/>
        <v>225000</v>
      </c>
      <c r="O127" s="18">
        <f t="shared" si="27"/>
        <v>225000</v>
      </c>
      <c r="P127" s="18">
        <f t="shared" si="27"/>
        <v>125000</v>
      </c>
    </row>
    <row r="128" spans="1:16" outlineLevel="1" x14ac:dyDescent="0.3">
      <c r="A128" s="19" t="s">
        <v>173</v>
      </c>
      <c r="B128" s="47" t="s">
        <v>174</v>
      </c>
      <c r="C128" s="48">
        <v>5119110</v>
      </c>
      <c r="D128" s="20">
        <f t="shared" ref="D128:D135" si="28">SUM(E128:P128)</f>
        <v>0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pans="1:16" outlineLevel="1" x14ac:dyDescent="0.3">
      <c r="A129" s="19" t="s">
        <v>175</v>
      </c>
      <c r="B129" s="47" t="s">
        <v>176</v>
      </c>
      <c r="C129" s="48">
        <v>5119120</v>
      </c>
      <c r="D129" s="20">
        <f t="shared" si="28"/>
        <v>0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spans="1:16" outlineLevel="1" x14ac:dyDescent="0.3">
      <c r="A130" s="19" t="s">
        <v>177</v>
      </c>
      <c r="B130" s="47" t="s">
        <v>178</v>
      </c>
      <c r="C130" s="48">
        <v>5119130</v>
      </c>
      <c r="D130" s="20">
        <f t="shared" si="28"/>
        <v>0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spans="1:16" outlineLevel="1" x14ac:dyDescent="0.3">
      <c r="A131" s="19" t="s">
        <v>179</v>
      </c>
      <c r="B131" s="47" t="s">
        <v>180</v>
      </c>
      <c r="C131" s="48">
        <v>5119140</v>
      </c>
      <c r="D131" s="20">
        <f t="shared" si="28"/>
        <v>0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spans="1:16" outlineLevel="1" x14ac:dyDescent="0.3">
      <c r="A132" s="19" t="s">
        <v>181</v>
      </c>
      <c r="B132" s="47" t="s">
        <v>182</v>
      </c>
      <c r="C132" s="48">
        <v>5119150</v>
      </c>
      <c r="D132" s="20">
        <f t="shared" si="28"/>
        <v>2000000</v>
      </c>
      <c r="E132" s="20">
        <v>200000</v>
      </c>
      <c r="F132" s="20">
        <v>200000</v>
      </c>
      <c r="G132" s="20">
        <v>100000</v>
      </c>
      <c r="H132" s="20">
        <v>200000</v>
      </c>
      <c r="I132" s="20">
        <v>200000</v>
      </c>
      <c r="J132" s="20">
        <v>100000</v>
      </c>
      <c r="K132" s="20">
        <v>200000</v>
      </c>
      <c r="L132" s="20">
        <v>200000</v>
      </c>
      <c r="M132" s="20">
        <v>100000</v>
      </c>
      <c r="N132" s="20">
        <v>200000</v>
      </c>
      <c r="O132" s="20">
        <v>200000</v>
      </c>
      <c r="P132" s="20">
        <v>100000</v>
      </c>
    </row>
    <row r="133" spans="1:16" outlineLevel="1" x14ac:dyDescent="0.3">
      <c r="A133" s="19" t="s">
        <v>183</v>
      </c>
      <c r="B133" s="47" t="s">
        <v>184</v>
      </c>
      <c r="C133" s="48">
        <v>5119160</v>
      </c>
      <c r="D133" s="20">
        <f t="shared" si="28"/>
        <v>0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pans="1:16" outlineLevel="1" x14ac:dyDescent="0.3">
      <c r="A134" s="19" t="s">
        <v>185</v>
      </c>
      <c r="B134" s="47" t="s">
        <v>185</v>
      </c>
      <c r="C134" s="48">
        <v>5119121</v>
      </c>
      <c r="D134" s="20">
        <f t="shared" si="28"/>
        <v>300000</v>
      </c>
      <c r="E134" s="20">
        <v>25000</v>
      </c>
      <c r="F134" s="20">
        <v>25000</v>
      </c>
      <c r="G134" s="20">
        <v>25000</v>
      </c>
      <c r="H134" s="20">
        <v>25000</v>
      </c>
      <c r="I134" s="20">
        <v>25000</v>
      </c>
      <c r="J134" s="20">
        <v>25000</v>
      </c>
      <c r="K134" s="20">
        <v>25000</v>
      </c>
      <c r="L134" s="20">
        <v>25000</v>
      </c>
      <c r="M134" s="20">
        <v>25000</v>
      </c>
      <c r="N134" s="20">
        <v>25000</v>
      </c>
      <c r="O134" s="20">
        <v>25000</v>
      </c>
      <c r="P134" s="20">
        <v>25000</v>
      </c>
    </row>
    <row r="135" spans="1:16" outlineLevel="1" x14ac:dyDescent="0.3">
      <c r="A135" s="19" t="s">
        <v>186</v>
      </c>
      <c r="B135" s="51" t="s">
        <v>187</v>
      </c>
      <c r="C135" s="48">
        <v>5119151</v>
      </c>
      <c r="D135" s="20">
        <f t="shared" si="28"/>
        <v>0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pans="1:16" x14ac:dyDescent="0.3">
      <c r="A136" s="15" t="s">
        <v>188</v>
      </c>
      <c r="B136" s="49" t="s">
        <v>3</v>
      </c>
      <c r="C136" s="50"/>
      <c r="D136" s="18">
        <f t="shared" ref="D136:P136" si="29">SUM(D137:D140)</f>
        <v>60000000</v>
      </c>
      <c r="E136" s="18">
        <f t="shared" si="29"/>
        <v>5000000</v>
      </c>
      <c r="F136" s="18">
        <f t="shared" si="29"/>
        <v>5000000</v>
      </c>
      <c r="G136" s="18">
        <f t="shared" si="29"/>
        <v>5000000</v>
      </c>
      <c r="H136" s="18">
        <f t="shared" si="29"/>
        <v>5000000</v>
      </c>
      <c r="I136" s="18">
        <f t="shared" si="29"/>
        <v>5000000</v>
      </c>
      <c r="J136" s="18">
        <f t="shared" si="29"/>
        <v>5000000</v>
      </c>
      <c r="K136" s="18">
        <f t="shared" si="29"/>
        <v>5000000</v>
      </c>
      <c r="L136" s="18">
        <f t="shared" si="29"/>
        <v>5000000</v>
      </c>
      <c r="M136" s="18">
        <f t="shared" si="29"/>
        <v>5000000</v>
      </c>
      <c r="N136" s="18">
        <f t="shared" si="29"/>
        <v>5000000</v>
      </c>
      <c r="O136" s="18">
        <f t="shared" si="29"/>
        <v>5000000</v>
      </c>
      <c r="P136" s="18">
        <f t="shared" si="29"/>
        <v>5000000</v>
      </c>
    </row>
    <row r="137" spans="1:16" outlineLevel="1" x14ac:dyDescent="0.3">
      <c r="A137" s="19" t="s">
        <v>189</v>
      </c>
      <c r="B137" s="47" t="s">
        <v>190</v>
      </c>
      <c r="C137" s="48">
        <v>5120110</v>
      </c>
      <c r="D137" s="20">
        <f>SUM(E137:P137)</f>
        <v>0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spans="1:16" outlineLevel="1" x14ac:dyDescent="0.3">
      <c r="A138" s="22" t="s">
        <v>191</v>
      </c>
      <c r="B138" s="47" t="s">
        <v>190</v>
      </c>
      <c r="C138" s="48">
        <v>5120140</v>
      </c>
      <c r="D138" s="20">
        <f>SUM(E138:P138)</f>
        <v>0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spans="1:16" outlineLevel="1" x14ac:dyDescent="0.3">
      <c r="A139" s="22" t="s">
        <v>192</v>
      </c>
      <c r="B139" s="47" t="s">
        <v>190</v>
      </c>
      <c r="C139" s="48">
        <v>5120130</v>
      </c>
      <c r="D139" s="20">
        <f>SUM(E139:P139)</f>
        <v>0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16" outlineLevel="1" x14ac:dyDescent="0.3">
      <c r="A140" s="19" t="s">
        <v>193</v>
      </c>
      <c r="B140" s="47" t="s">
        <v>190</v>
      </c>
      <c r="C140" s="48">
        <v>5120120</v>
      </c>
      <c r="D140" s="20">
        <f>SUM(E140:P140)</f>
        <v>60000000</v>
      </c>
      <c r="E140" s="20">
        <v>5000000</v>
      </c>
      <c r="F140" s="20">
        <v>5000000</v>
      </c>
      <c r="G140" s="20">
        <v>5000000</v>
      </c>
      <c r="H140" s="20">
        <v>5000000</v>
      </c>
      <c r="I140" s="20">
        <v>5000000</v>
      </c>
      <c r="J140" s="20">
        <v>5000000</v>
      </c>
      <c r="K140" s="20">
        <v>5000000</v>
      </c>
      <c r="L140" s="20">
        <v>5000000</v>
      </c>
      <c r="M140" s="20">
        <v>5000000</v>
      </c>
      <c r="N140" s="20">
        <v>5000000</v>
      </c>
      <c r="O140" s="20">
        <v>5000000</v>
      </c>
      <c r="P140" s="20">
        <v>5000000</v>
      </c>
    </row>
    <row r="141" spans="1:16" x14ac:dyDescent="0.3">
      <c r="A141" s="15" t="s">
        <v>194</v>
      </c>
      <c r="B141" s="49" t="s">
        <v>3</v>
      </c>
      <c r="C141" s="50"/>
      <c r="D141" s="18">
        <f t="shared" ref="D141:P141" si="30">SUM(D142:D145)</f>
        <v>2400000</v>
      </c>
      <c r="E141" s="18">
        <f t="shared" si="30"/>
        <v>0</v>
      </c>
      <c r="F141" s="18">
        <f t="shared" si="30"/>
        <v>0</v>
      </c>
      <c r="G141" s="18">
        <f t="shared" si="30"/>
        <v>600000</v>
      </c>
      <c r="H141" s="18">
        <f t="shared" si="30"/>
        <v>0</v>
      </c>
      <c r="I141" s="18">
        <f t="shared" si="30"/>
        <v>0</v>
      </c>
      <c r="J141" s="18">
        <f t="shared" si="30"/>
        <v>600000</v>
      </c>
      <c r="K141" s="18">
        <f t="shared" si="30"/>
        <v>0</v>
      </c>
      <c r="L141" s="18">
        <f t="shared" si="30"/>
        <v>0</v>
      </c>
      <c r="M141" s="18">
        <f t="shared" si="30"/>
        <v>600000</v>
      </c>
      <c r="N141" s="18">
        <f t="shared" si="30"/>
        <v>0</v>
      </c>
      <c r="O141" s="18">
        <f t="shared" si="30"/>
        <v>0</v>
      </c>
      <c r="P141" s="18">
        <f t="shared" si="30"/>
        <v>600000</v>
      </c>
    </row>
    <row r="142" spans="1:16" outlineLevel="1" x14ac:dyDescent="0.3">
      <c r="A142" s="19" t="s">
        <v>195</v>
      </c>
      <c r="B142" s="47" t="s">
        <v>195</v>
      </c>
      <c r="C142" s="48">
        <v>5121110</v>
      </c>
      <c r="D142" s="20">
        <f>SUM(E142:P142)</f>
        <v>1200000</v>
      </c>
      <c r="E142" s="20">
        <v>0</v>
      </c>
      <c r="F142" s="20">
        <v>0</v>
      </c>
      <c r="G142" s="20">
        <v>300000</v>
      </c>
      <c r="H142" s="20">
        <v>0</v>
      </c>
      <c r="I142" s="20">
        <v>0</v>
      </c>
      <c r="J142" s="20">
        <v>300000</v>
      </c>
      <c r="K142" s="20">
        <v>0</v>
      </c>
      <c r="L142" s="20">
        <v>0</v>
      </c>
      <c r="M142" s="20">
        <v>300000</v>
      </c>
      <c r="N142" s="20">
        <v>0</v>
      </c>
      <c r="O142" s="20">
        <v>0</v>
      </c>
      <c r="P142" s="20">
        <v>300000</v>
      </c>
    </row>
    <row r="143" spans="1:16" outlineLevel="1" x14ac:dyDescent="0.3">
      <c r="A143" s="19" t="s">
        <v>196</v>
      </c>
      <c r="B143" s="47" t="s">
        <v>196</v>
      </c>
      <c r="C143" s="48">
        <v>5121120</v>
      </c>
      <c r="D143" s="20">
        <f>SUM(E143:P143)</f>
        <v>0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pans="1:16" outlineLevel="1" x14ac:dyDescent="0.3">
      <c r="A144" s="19" t="s">
        <v>197</v>
      </c>
      <c r="B144" s="47" t="s">
        <v>197</v>
      </c>
      <c r="C144" s="48">
        <v>5121140</v>
      </c>
      <c r="D144" s="20">
        <f>SUM(E144:P144)</f>
        <v>0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pans="1:16" outlineLevel="1" x14ac:dyDescent="0.3">
      <c r="A145" s="19" t="s">
        <v>198</v>
      </c>
      <c r="B145" s="47" t="s">
        <v>199</v>
      </c>
      <c r="C145" s="48">
        <v>5121150</v>
      </c>
      <c r="D145" s="20">
        <f>SUM(E145:P145)</f>
        <v>1200000</v>
      </c>
      <c r="E145" s="20">
        <v>0</v>
      </c>
      <c r="F145" s="20">
        <v>0</v>
      </c>
      <c r="G145" s="20">
        <v>300000</v>
      </c>
      <c r="H145" s="20">
        <v>0</v>
      </c>
      <c r="I145" s="20">
        <v>0</v>
      </c>
      <c r="J145" s="20">
        <v>300000</v>
      </c>
      <c r="K145" s="20">
        <v>0</v>
      </c>
      <c r="L145" s="20">
        <v>0</v>
      </c>
      <c r="M145" s="20">
        <v>300000</v>
      </c>
      <c r="N145" s="20">
        <v>0</v>
      </c>
      <c r="O145" s="20">
        <v>0</v>
      </c>
      <c r="P145" s="20">
        <v>300000</v>
      </c>
    </row>
    <row r="146" spans="1:16" x14ac:dyDescent="0.3">
      <c r="A146" s="15" t="s">
        <v>200</v>
      </c>
      <c r="B146" s="49" t="s">
        <v>3</v>
      </c>
      <c r="C146" s="50"/>
      <c r="D146" s="18">
        <f t="shared" ref="D146:P146" si="31">SUM(D147:D150)</f>
        <v>1158576095</v>
      </c>
      <c r="E146" s="18">
        <f t="shared" si="31"/>
        <v>139778585</v>
      </c>
      <c r="F146" s="18">
        <f t="shared" si="31"/>
        <v>205063410</v>
      </c>
      <c r="G146" s="18">
        <f t="shared" si="31"/>
        <v>93353410</v>
      </c>
      <c r="H146" s="18">
        <f t="shared" si="31"/>
        <v>93553410</v>
      </c>
      <c r="I146" s="18">
        <f t="shared" si="31"/>
        <v>73353410</v>
      </c>
      <c r="J146" s="18">
        <f t="shared" si="31"/>
        <v>73353410</v>
      </c>
      <c r="K146" s="18">
        <f t="shared" si="31"/>
        <v>93353410</v>
      </c>
      <c r="L146" s="18">
        <f t="shared" si="31"/>
        <v>73353410</v>
      </c>
      <c r="M146" s="18">
        <f t="shared" si="31"/>
        <v>73353410</v>
      </c>
      <c r="N146" s="18">
        <f t="shared" si="31"/>
        <v>93353410</v>
      </c>
      <c r="O146" s="18">
        <f t="shared" si="31"/>
        <v>73353410</v>
      </c>
      <c r="P146" s="18">
        <f t="shared" si="31"/>
        <v>73353410</v>
      </c>
    </row>
    <row r="147" spans="1:16" outlineLevel="1" x14ac:dyDescent="0.3">
      <c r="A147" s="19" t="s">
        <v>201</v>
      </c>
      <c r="B147" s="47" t="s">
        <v>202</v>
      </c>
      <c r="C147" s="48">
        <v>5122110</v>
      </c>
      <c r="D147" s="20">
        <f>SUM(E147:P147)</f>
        <v>0</v>
      </c>
      <c r="E147" s="20">
        <v>0</v>
      </c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pans="1:16" outlineLevel="1" x14ac:dyDescent="0.3">
      <c r="A148" s="19" t="s">
        <v>203</v>
      </c>
      <c r="B148" s="47" t="s">
        <v>204</v>
      </c>
      <c r="C148" s="48">
        <v>5122120</v>
      </c>
      <c r="D148" s="20">
        <f>SUM(E148:P148)</f>
        <v>522576095</v>
      </c>
      <c r="E148" s="20">
        <f>66425175+20353410</f>
        <v>86778585</v>
      </c>
      <c r="F148" s="20">
        <f>131710000+20353410</f>
        <v>152063410</v>
      </c>
      <c r="G148" s="20">
        <f>20000000+20353410</f>
        <v>40353410</v>
      </c>
      <c r="H148" s="20">
        <f>20000000+20353410+200000</f>
        <v>40553410</v>
      </c>
      <c r="I148" s="20">
        <f>20353410</f>
        <v>20353410</v>
      </c>
      <c r="J148" s="20">
        <f>20353410</f>
        <v>20353410</v>
      </c>
      <c r="K148" s="20">
        <f>20000000+20353410</f>
        <v>40353410</v>
      </c>
      <c r="L148" s="20">
        <f>20353410</f>
        <v>20353410</v>
      </c>
      <c r="M148" s="20">
        <f>20353410</f>
        <v>20353410</v>
      </c>
      <c r="N148" s="20">
        <f>20000000+20353410</f>
        <v>40353410</v>
      </c>
      <c r="O148" s="20">
        <f>20353410</f>
        <v>20353410</v>
      </c>
      <c r="P148" s="20">
        <f>20353410</f>
        <v>20353410</v>
      </c>
    </row>
    <row r="149" spans="1:16" outlineLevel="1" x14ac:dyDescent="0.3">
      <c r="A149" s="22" t="s">
        <v>205</v>
      </c>
      <c r="B149" s="47" t="s">
        <v>206</v>
      </c>
      <c r="C149" s="48">
        <v>5122130</v>
      </c>
      <c r="D149" s="20">
        <f>SUM(E149:P149)</f>
        <v>576000000</v>
      </c>
      <c r="E149" s="20">
        <v>48000000</v>
      </c>
      <c r="F149" s="20">
        <v>48000000</v>
      </c>
      <c r="G149" s="20">
        <v>48000000</v>
      </c>
      <c r="H149" s="20">
        <v>48000000</v>
      </c>
      <c r="I149" s="20">
        <v>48000000</v>
      </c>
      <c r="J149" s="20">
        <v>48000000</v>
      </c>
      <c r="K149" s="20">
        <v>48000000</v>
      </c>
      <c r="L149" s="20">
        <v>48000000</v>
      </c>
      <c r="M149" s="20">
        <v>48000000</v>
      </c>
      <c r="N149" s="20">
        <v>48000000</v>
      </c>
      <c r="O149" s="20">
        <v>48000000</v>
      </c>
      <c r="P149" s="20">
        <v>48000000</v>
      </c>
    </row>
    <row r="150" spans="1:16" outlineLevel="1" x14ac:dyDescent="0.3">
      <c r="A150" s="19" t="s">
        <v>207</v>
      </c>
      <c r="B150" s="47" t="s">
        <v>208</v>
      </c>
      <c r="C150" s="48">
        <v>5122140</v>
      </c>
      <c r="D150" s="20">
        <f>SUM(E150:P150)</f>
        <v>60000000</v>
      </c>
      <c r="E150" s="20">
        <v>5000000</v>
      </c>
      <c r="F150" s="20">
        <v>5000000</v>
      </c>
      <c r="G150" s="20">
        <v>5000000</v>
      </c>
      <c r="H150" s="20">
        <v>5000000</v>
      </c>
      <c r="I150" s="20">
        <v>5000000</v>
      </c>
      <c r="J150" s="20">
        <v>5000000</v>
      </c>
      <c r="K150" s="20">
        <v>5000000</v>
      </c>
      <c r="L150" s="20">
        <v>5000000</v>
      </c>
      <c r="M150" s="20">
        <v>5000000</v>
      </c>
      <c r="N150" s="20">
        <v>5000000</v>
      </c>
      <c r="O150" s="20">
        <v>5000000</v>
      </c>
      <c r="P150" s="20">
        <v>5000000</v>
      </c>
    </row>
    <row r="151" spans="1:16" x14ac:dyDescent="0.3">
      <c r="A151" s="15" t="s">
        <v>209</v>
      </c>
      <c r="B151" s="49" t="s">
        <v>3</v>
      </c>
      <c r="C151" s="50"/>
      <c r="D151" s="18">
        <f t="shared" ref="D151:P151" si="32">SUM(D152:D154)</f>
        <v>0</v>
      </c>
      <c r="E151" s="18">
        <f t="shared" si="32"/>
        <v>0</v>
      </c>
      <c r="F151" s="18">
        <f t="shared" si="32"/>
        <v>0</v>
      </c>
      <c r="G151" s="18">
        <f t="shared" si="32"/>
        <v>0</v>
      </c>
      <c r="H151" s="18">
        <f t="shared" si="32"/>
        <v>0</v>
      </c>
      <c r="I151" s="18">
        <f t="shared" si="32"/>
        <v>0</v>
      </c>
      <c r="J151" s="18">
        <f t="shared" si="32"/>
        <v>0</v>
      </c>
      <c r="K151" s="18">
        <f t="shared" si="32"/>
        <v>0</v>
      </c>
      <c r="L151" s="18">
        <f t="shared" si="32"/>
        <v>0</v>
      </c>
      <c r="M151" s="18">
        <f t="shared" si="32"/>
        <v>0</v>
      </c>
      <c r="N151" s="18">
        <f t="shared" si="32"/>
        <v>0</v>
      </c>
      <c r="O151" s="18">
        <f t="shared" si="32"/>
        <v>0</v>
      </c>
      <c r="P151" s="18">
        <f t="shared" si="32"/>
        <v>0</v>
      </c>
    </row>
    <row r="152" spans="1:16" outlineLevel="1" x14ac:dyDescent="0.3">
      <c r="A152" s="19" t="s">
        <v>210</v>
      </c>
      <c r="B152" s="47" t="s">
        <v>211</v>
      </c>
      <c r="C152" s="48">
        <v>5123110</v>
      </c>
      <c r="D152" s="20">
        <f>SUM(E152:P152)</f>
        <v>0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pans="1:16" outlineLevel="1" x14ac:dyDescent="0.3">
      <c r="A153" s="19" t="s">
        <v>212</v>
      </c>
      <c r="B153" s="47" t="s">
        <v>213</v>
      </c>
      <c r="C153" s="48">
        <v>5123120</v>
      </c>
      <c r="D153" s="20">
        <f>SUM(E153:P153)</f>
        <v>0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spans="1:16" outlineLevel="1" x14ac:dyDescent="0.3">
      <c r="A154" s="34" t="s">
        <v>214</v>
      </c>
      <c r="B154" s="52" t="s">
        <v>215</v>
      </c>
      <c r="C154" s="53">
        <v>5123130</v>
      </c>
      <c r="D154" s="37">
        <f>SUM(E154:P154)</f>
        <v>0</v>
      </c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F49A-4EAE-4DAE-BA12-CED691D9CDFD}">
  <sheetPr>
    <tabColor theme="9"/>
  </sheetPr>
  <dimension ref="A1:P154"/>
  <sheetViews>
    <sheetView zoomScale="85" zoomScaleNormal="85" workbookViewId="0">
      <pane xSplit="3" ySplit="3" topLeftCell="D4" activePane="bottomRight" state="frozen"/>
      <selection activeCell="BF17" sqref="BF17"/>
      <selection pane="topRight" activeCell="BF17" sqref="BF17"/>
      <selection pane="bottomLeft" activeCell="BF17" sqref="BF17"/>
      <selection pane="bottomRight" activeCell="A11" sqref="A11"/>
    </sheetView>
  </sheetViews>
  <sheetFormatPr defaultColWidth="9" defaultRowHeight="16.5" outlineLevelRow="1" outlineLevelCol="1" x14ac:dyDescent="0.3"/>
  <cols>
    <col min="1" max="1" width="41" style="42" customWidth="1"/>
    <col min="2" max="2" width="27.75" style="42" customWidth="1" outlineLevel="1"/>
    <col min="3" max="3" width="9.25" style="43" customWidth="1" outlineLevel="1"/>
    <col min="4" max="4" width="14.25" style="42" bestFit="1" customWidth="1"/>
    <col min="5" max="5" width="14.25" style="42" bestFit="1" customWidth="1" outlineLevel="1"/>
    <col min="6" max="6" width="14.25" style="42" customWidth="1" outlineLevel="1"/>
    <col min="7" max="7" width="14.25" style="42" bestFit="1" customWidth="1" outlineLevel="1"/>
    <col min="8" max="16" width="14.25" style="42" customWidth="1" outlineLevel="1"/>
    <col min="17" max="16384" width="9" style="42"/>
  </cols>
  <sheetData>
    <row r="1" spans="1:16" x14ac:dyDescent="0.3">
      <c r="A1" s="56" t="s">
        <v>226</v>
      </c>
      <c r="E1" s="57"/>
    </row>
    <row r="2" spans="1:16" x14ac:dyDescent="0.3">
      <c r="A2" s="42" t="s">
        <v>227</v>
      </c>
    </row>
    <row r="3" spans="1:16" x14ac:dyDescent="0.3">
      <c r="A3" s="4" t="s">
        <v>0</v>
      </c>
      <c r="B3" s="4" t="s">
        <v>1</v>
      </c>
      <c r="C3" s="5" t="s">
        <v>2</v>
      </c>
      <c r="D3" s="6">
        <v>2026</v>
      </c>
      <c r="E3" s="6">
        <v>2026.01</v>
      </c>
      <c r="F3" s="6">
        <v>2026.02</v>
      </c>
      <c r="G3" s="6">
        <v>2026.03</v>
      </c>
      <c r="H3" s="6">
        <v>2026.04</v>
      </c>
      <c r="I3" s="6">
        <v>2026.05</v>
      </c>
      <c r="J3" s="6">
        <v>2026.06</v>
      </c>
      <c r="K3" s="6">
        <v>2026.07</v>
      </c>
      <c r="L3" s="6">
        <v>2026.08</v>
      </c>
      <c r="M3" s="6">
        <v>2026.09</v>
      </c>
      <c r="N3" s="44">
        <v>2026.1</v>
      </c>
      <c r="O3" s="6">
        <v>2026.11</v>
      </c>
      <c r="P3" s="6">
        <v>2026.12</v>
      </c>
    </row>
    <row r="4" spans="1:16" x14ac:dyDescent="0.3">
      <c r="A4" s="7" t="s">
        <v>4</v>
      </c>
      <c r="B4" s="45" t="s">
        <v>3</v>
      </c>
      <c r="C4" s="46"/>
      <c r="D4" s="24">
        <f t="shared" ref="D4:P4" si="0">D5+D24+D30+D38+D46+D57+D66+D78+D85+D93+D96+D106+D108+D116+D118+D124+D127+D136+D141+D146+D151</f>
        <v>4619990696</v>
      </c>
      <c r="E4" s="24">
        <f t="shared" si="0"/>
        <v>387970058</v>
      </c>
      <c r="F4" s="24">
        <f t="shared" si="0"/>
        <v>353270058</v>
      </c>
      <c r="G4" s="24">
        <f t="shared" si="0"/>
        <v>501170058</v>
      </c>
      <c r="H4" s="24">
        <f t="shared" si="0"/>
        <v>332670058</v>
      </c>
      <c r="I4" s="24">
        <f t="shared" si="0"/>
        <v>330570058</v>
      </c>
      <c r="J4" s="24">
        <f t="shared" si="0"/>
        <v>407320058</v>
      </c>
      <c r="K4" s="24">
        <f t="shared" si="0"/>
        <v>364520058</v>
      </c>
      <c r="L4" s="24">
        <f t="shared" si="0"/>
        <v>352020058</v>
      </c>
      <c r="M4" s="24">
        <f t="shared" si="0"/>
        <v>423420058</v>
      </c>
      <c r="N4" s="24">
        <f t="shared" si="0"/>
        <v>331020058</v>
      </c>
      <c r="O4" s="24">
        <f t="shared" si="0"/>
        <v>355770058</v>
      </c>
      <c r="P4" s="24">
        <f t="shared" si="0"/>
        <v>480270058</v>
      </c>
    </row>
    <row r="5" spans="1:16" x14ac:dyDescent="0.3">
      <c r="A5" s="15" t="s">
        <v>5</v>
      </c>
      <c r="B5" s="49" t="s">
        <v>3</v>
      </c>
      <c r="C5" s="50"/>
      <c r="D5" s="18">
        <f t="shared" ref="D5:P5" si="1">SUM(D6:D23)</f>
        <v>63577800</v>
      </c>
      <c r="E5" s="18">
        <f t="shared" si="1"/>
        <v>5298150</v>
      </c>
      <c r="F5" s="18">
        <f t="shared" si="1"/>
        <v>5298150</v>
      </c>
      <c r="G5" s="18">
        <f t="shared" si="1"/>
        <v>5298150</v>
      </c>
      <c r="H5" s="18">
        <f t="shared" si="1"/>
        <v>5298150</v>
      </c>
      <c r="I5" s="18">
        <f t="shared" si="1"/>
        <v>5298150</v>
      </c>
      <c r="J5" s="18">
        <f t="shared" si="1"/>
        <v>5298150</v>
      </c>
      <c r="K5" s="18">
        <f t="shared" si="1"/>
        <v>5298150</v>
      </c>
      <c r="L5" s="18">
        <f t="shared" si="1"/>
        <v>5298150</v>
      </c>
      <c r="M5" s="18">
        <f t="shared" si="1"/>
        <v>5298150</v>
      </c>
      <c r="N5" s="18">
        <f t="shared" si="1"/>
        <v>5298150</v>
      </c>
      <c r="O5" s="18">
        <f t="shared" si="1"/>
        <v>5298150</v>
      </c>
      <c r="P5" s="18">
        <f t="shared" si="1"/>
        <v>5298150</v>
      </c>
    </row>
    <row r="6" spans="1:16" outlineLevel="1" x14ac:dyDescent="0.3">
      <c r="A6" s="19" t="s">
        <v>6</v>
      </c>
      <c r="B6" s="47" t="s">
        <v>7</v>
      </c>
      <c r="C6" s="48">
        <v>5103260</v>
      </c>
      <c r="D6" s="20">
        <f t="shared" ref="D6:D23" si="2">SUM(E6:P6)</f>
        <v>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 outlineLevel="1" x14ac:dyDescent="0.3">
      <c r="A7" s="19" t="s">
        <v>8</v>
      </c>
      <c r="B7" s="47" t="s">
        <v>9</v>
      </c>
      <c r="C7" s="48">
        <v>5103250</v>
      </c>
      <c r="D7" s="20">
        <f t="shared" si="2"/>
        <v>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outlineLevel="1" x14ac:dyDescent="0.3">
      <c r="A8" s="19" t="s">
        <v>10</v>
      </c>
      <c r="B8" s="47" t="s">
        <v>11</v>
      </c>
      <c r="C8" s="48">
        <v>5103240</v>
      </c>
      <c r="D8" s="20">
        <f t="shared" si="2"/>
        <v>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outlineLevel="1" x14ac:dyDescent="0.3">
      <c r="A9" s="19" t="s">
        <v>12</v>
      </c>
      <c r="B9" s="47" t="s">
        <v>13</v>
      </c>
      <c r="C9" s="48">
        <v>5103230</v>
      </c>
      <c r="D9" s="20">
        <f t="shared" si="2"/>
        <v>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outlineLevel="1" x14ac:dyDescent="0.3">
      <c r="A10" s="19" t="s">
        <v>14</v>
      </c>
      <c r="B10" s="47" t="s">
        <v>15</v>
      </c>
      <c r="C10" s="48">
        <v>5103220</v>
      </c>
      <c r="D10" s="20">
        <f t="shared" si="2"/>
        <v>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6" outlineLevel="1" x14ac:dyDescent="0.3">
      <c r="A11" s="19" t="s">
        <v>16</v>
      </c>
      <c r="B11" s="47" t="s">
        <v>16</v>
      </c>
      <c r="C11" s="48">
        <v>5103210</v>
      </c>
      <c r="D11" s="20">
        <f t="shared" si="2"/>
        <v>600000</v>
      </c>
      <c r="E11" s="20">
        <v>50000</v>
      </c>
      <c r="F11" s="20">
        <v>50000</v>
      </c>
      <c r="G11" s="20">
        <v>50000</v>
      </c>
      <c r="H11" s="20">
        <v>50000</v>
      </c>
      <c r="I11" s="20">
        <v>50000</v>
      </c>
      <c r="J11" s="20">
        <v>50000</v>
      </c>
      <c r="K11" s="20">
        <v>50000</v>
      </c>
      <c r="L11" s="20">
        <v>50000</v>
      </c>
      <c r="M11" s="20">
        <v>50000</v>
      </c>
      <c r="N11" s="20">
        <v>50000</v>
      </c>
      <c r="O11" s="20">
        <v>50000</v>
      </c>
      <c r="P11" s="20">
        <v>50000</v>
      </c>
    </row>
    <row r="12" spans="1:16" outlineLevel="1" x14ac:dyDescent="0.3">
      <c r="A12" s="19" t="s">
        <v>17</v>
      </c>
      <c r="B12" s="47" t="s">
        <v>18</v>
      </c>
      <c r="C12" s="48">
        <v>5103190</v>
      </c>
      <c r="D12" s="20">
        <f t="shared" si="2"/>
        <v>669600</v>
      </c>
      <c r="E12" s="20">
        <v>55800</v>
      </c>
      <c r="F12" s="20">
        <v>55800</v>
      </c>
      <c r="G12" s="20">
        <v>55800</v>
      </c>
      <c r="H12" s="20">
        <v>55800</v>
      </c>
      <c r="I12" s="20">
        <v>55800</v>
      </c>
      <c r="J12" s="20">
        <v>55800</v>
      </c>
      <c r="K12" s="20">
        <v>55800</v>
      </c>
      <c r="L12" s="20">
        <v>55800</v>
      </c>
      <c r="M12" s="20">
        <v>55800</v>
      </c>
      <c r="N12" s="20">
        <v>55800</v>
      </c>
      <c r="O12" s="20">
        <v>55800</v>
      </c>
      <c r="P12" s="20">
        <v>55800</v>
      </c>
    </row>
    <row r="13" spans="1:16" outlineLevel="1" x14ac:dyDescent="0.3">
      <c r="A13" s="19" t="s">
        <v>19</v>
      </c>
      <c r="B13" s="47" t="s">
        <v>20</v>
      </c>
      <c r="C13" s="48">
        <v>5103180</v>
      </c>
      <c r="D13" s="20">
        <f t="shared" si="2"/>
        <v>0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 outlineLevel="1" x14ac:dyDescent="0.3">
      <c r="A14" s="19" t="s">
        <v>21</v>
      </c>
      <c r="B14" s="47" t="s">
        <v>22</v>
      </c>
      <c r="C14" s="48">
        <v>5103170</v>
      </c>
      <c r="D14" s="20">
        <f t="shared" si="2"/>
        <v>0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 outlineLevel="1" x14ac:dyDescent="0.3">
      <c r="A15" s="19" t="s">
        <v>23</v>
      </c>
      <c r="B15" s="47" t="s">
        <v>24</v>
      </c>
      <c r="C15" s="48">
        <v>5103160</v>
      </c>
      <c r="D15" s="20">
        <f t="shared" si="2"/>
        <v>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 outlineLevel="1" x14ac:dyDescent="0.3">
      <c r="A16" s="19" t="s">
        <v>25</v>
      </c>
      <c r="B16" s="47" t="s">
        <v>26</v>
      </c>
      <c r="C16" s="48">
        <v>5103150</v>
      </c>
      <c r="D16" s="20">
        <f t="shared" si="2"/>
        <v>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outlineLevel="1" x14ac:dyDescent="0.3">
      <c r="A17" s="19" t="s">
        <v>27</v>
      </c>
      <c r="B17" s="47" t="s">
        <v>28</v>
      </c>
      <c r="C17" s="48">
        <v>5103140</v>
      </c>
      <c r="D17" s="20">
        <f t="shared" si="2"/>
        <v>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outlineLevel="1" x14ac:dyDescent="0.3">
      <c r="A18" s="19" t="s">
        <v>29</v>
      </c>
      <c r="B18" s="47" t="s">
        <v>3</v>
      </c>
      <c r="C18" s="48">
        <v>5103130</v>
      </c>
      <c r="D18" s="20">
        <f t="shared" si="2"/>
        <v>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 outlineLevel="1" x14ac:dyDescent="0.3">
      <c r="A19" s="19" t="s">
        <v>30</v>
      </c>
      <c r="B19" s="47" t="s">
        <v>31</v>
      </c>
      <c r="C19" s="48">
        <v>5103120</v>
      </c>
      <c r="D19" s="20">
        <f t="shared" si="2"/>
        <v>0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 outlineLevel="1" x14ac:dyDescent="0.3">
      <c r="A20" s="19" t="s">
        <v>32</v>
      </c>
      <c r="B20" s="47" t="s">
        <v>33</v>
      </c>
      <c r="C20" s="48">
        <v>5103110</v>
      </c>
      <c r="D20" s="20">
        <f t="shared" si="2"/>
        <v>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outlineLevel="1" x14ac:dyDescent="0.3">
      <c r="A21" s="19" t="s">
        <v>34</v>
      </c>
      <c r="B21" s="47" t="s">
        <v>18</v>
      </c>
      <c r="C21" s="48">
        <v>5103270</v>
      </c>
      <c r="D21" s="20">
        <f t="shared" si="2"/>
        <v>58228200</v>
      </c>
      <c r="E21" s="30">
        <v>4852350</v>
      </c>
      <c r="F21" s="20">
        <v>4852350</v>
      </c>
      <c r="G21" s="20">
        <v>4852350</v>
      </c>
      <c r="H21" s="20">
        <v>4852350</v>
      </c>
      <c r="I21" s="20">
        <v>4852350</v>
      </c>
      <c r="J21" s="20">
        <v>4852350</v>
      </c>
      <c r="K21" s="20">
        <v>4852350</v>
      </c>
      <c r="L21" s="20">
        <v>4852350</v>
      </c>
      <c r="M21" s="20">
        <v>4852350</v>
      </c>
      <c r="N21" s="20">
        <v>4852350</v>
      </c>
      <c r="O21" s="20">
        <v>4852350</v>
      </c>
      <c r="P21" s="20">
        <v>4852350</v>
      </c>
    </row>
    <row r="22" spans="1:16" outlineLevel="1" x14ac:dyDescent="0.3">
      <c r="A22" s="19" t="s">
        <v>35</v>
      </c>
      <c r="B22" s="47" t="s">
        <v>35</v>
      </c>
      <c r="C22" s="48">
        <v>5103111</v>
      </c>
      <c r="D22" s="20">
        <f t="shared" si="2"/>
        <v>1200000</v>
      </c>
      <c r="E22" s="20">
        <v>100000</v>
      </c>
      <c r="F22" s="20">
        <v>100000</v>
      </c>
      <c r="G22" s="20">
        <v>100000</v>
      </c>
      <c r="H22" s="20">
        <v>100000</v>
      </c>
      <c r="I22" s="20">
        <v>100000</v>
      </c>
      <c r="J22" s="20">
        <v>100000</v>
      </c>
      <c r="K22" s="20">
        <v>100000</v>
      </c>
      <c r="L22" s="20">
        <v>100000</v>
      </c>
      <c r="M22" s="20">
        <v>100000</v>
      </c>
      <c r="N22" s="20">
        <v>100000</v>
      </c>
      <c r="O22" s="20">
        <v>100000</v>
      </c>
      <c r="P22" s="20">
        <v>100000</v>
      </c>
    </row>
    <row r="23" spans="1:16" outlineLevel="1" x14ac:dyDescent="0.3">
      <c r="A23" s="19" t="s">
        <v>36</v>
      </c>
      <c r="B23" s="47" t="s">
        <v>36</v>
      </c>
      <c r="C23" s="48">
        <v>5103131</v>
      </c>
      <c r="D23" s="20">
        <f t="shared" si="2"/>
        <v>2880000</v>
      </c>
      <c r="E23" s="20">
        <v>240000</v>
      </c>
      <c r="F23" s="20">
        <v>240000</v>
      </c>
      <c r="G23" s="20">
        <v>240000</v>
      </c>
      <c r="H23" s="20">
        <v>240000</v>
      </c>
      <c r="I23" s="20">
        <v>240000</v>
      </c>
      <c r="J23" s="20">
        <v>240000</v>
      </c>
      <c r="K23" s="20">
        <v>240000</v>
      </c>
      <c r="L23" s="20">
        <v>240000</v>
      </c>
      <c r="M23" s="20">
        <v>240000</v>
      </c>
      <c r="N23" s="20">
        <v>240000</v>
      </c>
      <c r="O23" s="20">
        <v>240000</v>
      </c>
      <c r="P23" s="20">
        <v>240000</v>
      </c>
    </row>
    <row r="24" spans="1:16" x14ac:dyDescent="0.3">
      <c r="A24" s="15" t="s">
        <v>37</v>
      </c>
      <c r="B24" s="49" t="s">
        <v>3</v>
      </c>
      <c r="C24" s="50"/>
      <c r="D24" s="18">
        <f t="shared" ref="D24:P24" si="3">SUM(D25:D29)</f>
        <v>2400000</v>
      </c>
      <c r="E24" s="18">
        <f t="shared" si="3"/>
        <v>200000</v>
      </c>
      <c r="F24" s="18">
        <f t="shared" si="3"/>
        <v>200000</v>
      </c>
      <c r="G24" s="18">
        <f t="shared" si="3"/>
        <v>200000</v>
      </c>
      <c r="H24" s="18">
        <f t="shared" si="3"/>
        <v>200000</v>
      </c>
      <c r="I24" s="18">
        <f t="shared" si="3"/>
        <v>200000</v>
      </c>
      <c r="J24" s="18">
        <f t="shared" si="3"/>
        <v>200000</v>
      </c>
      <c r="K24" s="18">
        <f t="shared" si="3"/>
        <v>200000</v>
      </c>
      <c r="L24" s="18">
        <f t="shared" si="3"/>
        <v>200000</v>
      </c>
      <c r="M24" s="18">
        <f t="shared" si="3"/>
        <v>200000</v>
      </c>
      <c r="N24" s="18">
        <f t="shared" si="3"/>
        <v>200000</v>
      </c>
      <c r="O24" s="18">
        <f t="shared" si="3"/>
        <v>200000</v>
      </c>
      <c r="P24" s="18">
        <f t="shared" si="3"/>
        <v>200000</v>
      </c>
    </row>
    <row r="25" spans="1:16" outlineLevel="1" x14ac:dyDescent="0.3">
      <c r="A25" s="19" t="s">
        <v>38</v>
      </c>
      <c r="B25" s="47" t="s">
        <v>39</v>
      </c>
      <c r="C25" s="48">
        <v>5104110</v>
      </c>
      <c r="D25" s="20">
        <f>SUM(E25:P25)</f>
        <v>0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outlineLevel="1" x14ac:dyDescent="0.3">
      <c r="A26" s="19" t="s">
        <v>40</v>
      </c>
      <c r="B26" s="47" t="s">
        <v>41</v>
      </c>
      <c r="C26" s="48">
        <v>5104120</v>
      </c>
      <c r="D26" s="20">
        <f>SUM(E26:P26)</f>
        <v>1200000</v>
      </c>
      <c r="E26" s="20">
        <v>100000</v>
      </c>
      <c r="F26" s="20">
        <v>100000</v>
      </c>
      <c r="G26" s="20">
        <v>100000</v>
      </c>
      <c r="H26" s="20">
        <v>100000</v>
      </c>
      <c r="I26" s="20">
        <v>100000</v>
      </c>
      <c r="J26" s="20">
        <v>100000</v>
      </c>
      <c r="K26" s="20">
        <v>100000</v>
      </c>
      <c r="L26" s="20">
        <v>100000</v>
      </c>
      <c r="M26" s="20">
        <v>100000</v>
      </c>
      <c r="N26" s="20">
        <v>100000</v>
      </c>
      <c r="O26" s="20">
        <v>100000</v>
      </c>
      <c r="P26" s="20">
        <v>100000</v>
      </c>
    </row>
    <row r="27" spans="1:16" outlineLevel="1" x14ac:dyDescent="0.3">
      <c r="A27" s="19" t="s">
        <v>42</v>
      </c>
      <c r="B27" s="47" t="s">
        <v>43</v>
      </c>
      <c r="C27" s="48">
        <v>5104130</v>
      </c>
      <c r="D27" s="20">
        <f>SUM(E27:P27)</f>
        <v>1200000</v>
      </c>
      <c r="E27" s="20">
        <v>100000</v>
      </c>
      <c r="F27" s="20">
        <v>100000</v>
      </c>
      <c r="G27" s="20">
        <v>100000</v>
      </c>
      <c r="H27" s="20">
        <v>100000</v>
      </c>
      <c r="I27" s="20">
        <v>100000</v>
      </c>
      <c r="J27" s="20">
        <v>100000</v>
      </c>
      <c r="K27" s="20">
        <v>100000</v>
      </c>
      <c r="L27" s="20">
        <v>100000</v>
      </c>
      <c r="M27" s="20">
        <v>100000</v>
      </c>
      <c r="N27" s="20">
        <v>100000</v>
      </c>
      <c r="O27" s="20">
        <v>100000</v>
      </c>
      <c r="P27" s="20">
        <v>100000</v>
      </c>
    </row>
    <row r="28" spans="1:16" outlineLevel="1" x14ac:dyDescent="0.3">
      <c r="A28" s="19" t="s">
        <v>44</v>
      </c>
      <c r="B28" s="47" t="s">
        <v>45</v>
      </c>
      <c r="C28" s="48">
        <v>5104140</v>
      </c>
      <c r="D28" s="20">
        <f>SUM(E28:P28)</f>
        <v>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outlineLevel="1" x14ac:dyDescent="0.3">
      <c r="A29" s="19" t="s">
        <v>46</v>
      </c>
      <c r="B29" s="47" t="s">
        <v>46</v>
      </c>
      <c r="C29" s="48">
        <v>5104150</v>
      </c>
      <c r="D29" s="20">
        <f>SUM(E29:P29)</f>
        <v>0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x14ac:dyDescent="0.3">
      <c r="A30" s="15" t="s">
        <v>47</v>
      </c>
      <c r="B30" s="49" t="s">
        <v>3</v>
      </c>
      <c r="C30" s="50"/>
      <c r="D30" s="18">
        <f t="shared" ref="D30:P30" si="4">SUM(D31:D37)</f>
        <v>0</v>
      </c>
      <c r="E30" s="18">
        <f t="shared" si="4"/>
        <v>0</v>
      </c>
      <c r="F30" s="18">
        <f t="shared" si="4"/>
        <v>0</v>
      </c>
      <c r="G30" s="18">
        <f t="shared" si="4"/>
        <v>0</v>
      </c>
      <c r="H30" s="18">
        <f t="shared" si="4"/>
        <v>0</v>
      </c>
      <c r="I30" s="18">
        <f t="shared" si="4"/>
        <v>0</v>
      </c>
      <c r="J30" s="18">
        <f t="shared" si="4"/>
        <v>0</v>
      </c>
      <c r="K30" s="18">
        <f t="shared" si="4"/>
        <v>0</v>
      </c>
      <c r="L30" s="18">
        <f t="shared" si="4"/>
        <v>0</v>
      </c>
      <c r="M30" s="18">
        <f t="shared" si="4"/>
        <v>0</v>
      </c>
      <c r="N30" s="18">
        <f t="shared" si="4"/>
        <v>0</v>
      </c>
      <c r="O30" s="18">
        <f t="shared" si="4"/>
        <v>0</v>
      </c>
      <c r="P30" s="18">
        <f t="shared" si="4"/>
        <v>0</v>
      </c>
    </row>
    <row r="31" spans="1:16" outlineLevel="1" x14ac:dyDescent="0.3">
      <c r="A31" s="19" t="s">
        <v>48</v>
      </c>
      <c r="B31" s="47" t="s">
        <v>49</v>
      </c>
      <c r="C31" s="48">
        <v>5105160</v>
      </c>
      <c r="D31" s="20">
        <f t="shared" ref="D31:D37" si="5">SUM(E31:P31)</f>
        <v>0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outlineLevel="1" x14ac:dyDescent="0.3">
      <c r="A32" s="19" t="s">
        <v>50</v>
      </c>
      <c r="B32" s="47" t="s">
        <v>49</v>
      </c>
      <c r="C32" s="48">
        <v>5105150</v>
      </c>
      <c r="D32" s="20">
        <f t="shared" si="5"/>
        <v>0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outlineLevel="1" x14ac:dyDescent="0.3">
      <c r="A33" s="19" t="s">
        <v>51</v>
      </c>
      <c r="B33" s="47" t="s">
        <v>52</v>
      </c>
      <c r="C33" s="48">
        <v>5105140</v>
      </c>
      <c r="D33" s="20">
        <f t="shared" si="5"/>
        <v>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outlineLevel="1" x14ac:dyDescent="0.3">
      <c r="A34" s="19" t="s">
        <v>53</v>
      </c>
      <c r="B34" s="47" t="s">
        <v>49</v>
      </c>
      <c r="C34" s="48">
        <v>5105130</v>
      </c>
      <c r="D34" s="20">
        <f t="shared" si="5"/>
        <v>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outlineLevel="1" x14ac:dyDescent="0.3">
      <c r="A35" s="19" t="s">
        <v>54</v>
      </c>
      <c r="B35" s="47" t="s">
        <v>49</v>
      </c>
      <c r="C35" s="48">
        <v>5105120</v>
      </c>
      <c r="D35" s="20">
        <f t="shared" si="5"/>
        <v>0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outlineLevel="1" x14ac:dyDescent="0.3">
      <c r="A36" s="19" t="s">
        <v>55</v>
      </c>
      <c r="B36" s="47" t="s">
        <v>49</v>
      </c>
      <c r="C36" s="48">
        <v>5105110</v>
      </c>
      <c r="D36" s="20">
        <f t="shared" si="5"/>
        <v>0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outlineLevel="1" x14ac:dyDescent="0.3">
      <c r="A37" s="19" t="s">
        <v>56</v>
      </c>
      <c r="B37" s="47" t="s">
        <v>49</v>
      </c>
      <c r="C37" s="48">
        <v>5105111</v>
      </c>
      <c r="D37" s="20">
        <f t="shared" si="5"/>
        <v>0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x14ac:dyDescent="0.3">
      <c r="A38" s="15" t="s">
        <v>57</v>
      </c>
      <c r="B38" s="49" t="s">
        <v>3</v>
      </c>
      <c r="C38" s="50"/>
      <c r="D38" s="18">
        <f t="shared" ref="D38:P38" si="6">SUM(D39:D45)</f>
        <v>3410000000</v>
      </c>
      <c r="E38" s="18">
        <f t="shared" si="6"/>
        <v>275000000</v>
      </c>
      <c r="F38" s="18">
        <f t="shared" si="6"/>
        <v>275000000</v>
      </c>
      <c r="G38" s="18">
        <f t="shared" si="6"/>
        <v>275000000</v>
      </c>
      <c r="H38" s="18">
        <f t="shared" si="6"/>
        <v>270000000</v>
      </c>
      <c r="I38" s="18">
        <f t="shared" si="6"/>
        <v>270000000</v>
      </c>
      <c r="J38" s="18">
        <f t="shared" si="6"/>
        <v>300000000</v>
      </c>
      <c r="K38" s="18">
        <f t="shared" si="6"/>
        <v>300000000</v>
      </c>
      <c r="L38" s="18">
        <f t="shared" si="6"/>
        <v>300000000</v>
      </c>
      <c r="M38" s="18">
        <f t="shared" si="6"/>
        <v>270000000</v>
      </c>
      <c r="N38" s="18">
        <f t="shared" si="6"/>
        <v>265000000</v>
      </c>
      <c r="O38" s="18">
        <f t="shared" si="6"/>
        <v>305000000</v>
      </c>
      <c r="P38" s="18">
        <f t="shared" si="6"/>
        <v>305000000</v>
      </c>
    </row>
    <row r="39" spans="1:16" outlineLevel="1" x14ac:dyDescent="0.3">
      <c r="A39" s="19" t="s">
        <v>58</v>
      </c>
      <c r="B39" s="47" t="s">
        <v>59</v>
      </c>
      <c r="C39" s="48">
        <v>5106110</v>
      </c>
      <c r="D39" s="55">
        <f t="shared" ref="D39:D45" si="7">SUM(E39:P39)</f>
        <v>210000000</v>
      </c>
      <c r="E39" s="20">
        <v>15000000</v>
      </c>
      <c r="F39" s="20">
        <v>15000000</v>
      </c>
      <c r="G39" s="20">
        <v>15000000</v>
      </c>
      <c r="H39" s="20">
        <v>20000000</v>
      </c>
      <c r="I39" s="20">
        <v>20000000</v>
      </c>
      <c r="J39" s="20">
        <v>20000000</v>
      </c>
      <c r="K39" s="20">
        <v>20000000</v>
      </c>
      <c r="L39" s="20">
        <v>20000000</v>
      </c>
      <c r="M39" s="20">
        <v>20000000</v>
      </c>
      <c r="N39" s="20">
        <v>15000000</v>
      </c>
      <c r="O39" s="20">
        <v>15000000</v>
      </c>
      <c r="P39" s="20">
        <v>15000000</v>
      </c>
    </row>
    <row r="40" spans="1:16" outlineLevel="1" x14ac:dyDescent="0.3">
      <c r="A40" s="19" t="s">
        <v>60</v>
      </c>
      <c r="B40" s="47" t="s">
        <v>59</v>
      </c>
      <c r="C40" s="48">
        <v>5106120</v>
      </c>
      <c r="D40" s="20">
        <f t="shared" si="7"/>
        <v>0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outlineLevel="1" x14ac:dyDescent="0.3">
      <c r="A41" s="19" t="s">
        <v>61</v>
      </c>
      <c r="B41" s="47" t="s">
        <v>59</v>
      </c>
      <c r="C41" s="48">
        <v>5106130</v>
      </c>
      <c r="D41" s="55">
        <f t="shared" si="7"/>
        <v>2070000000</v>
      </c>
      <c r="E41" s="20">
        <v>160000000</v>
      </c>
      <c r="F41" s="20">
        <v>160000000</v>
      </c>
      <c r="G41" s="20">
        <v>160000000</v>
      </c>
      <c r="H41" s="20">
        <v>160000000</v>
      </c>
      <c r="I41" s="20">
        <v>160000000</v>
      </c>
      <c r="J41" s="20">
        <v>190000000</v>
      </c>
      <c r="K41" s="20">
        <v>190000000</v>
      </c>
      <c r="L41" s="20">
        <v>190000000</v>
      </c>
      <c r="M41" s="20">
        <v>160000000</v>
      </c>
      <c r="N41" s="20">
        <v>160000000</v>
      </c>
      <c r="O41" s="20">
        <v>190000000</v>
      </c>
      <c r="P41" s="20">
        <v>190000000</v>
      </c>
    </row>
    <row r="42" spans="1:16" outlineLevel="1" x14ac:dyDescent="0.3">
      <c r="A42" s="19" t="s">
        <v>62</v>
      </c>
      <c r="B42" s="47" t="s">
        <v>3</v>
      </c>
      <c r="C42" s="48">
        <v>5106140</v>
      </c>
      <c r="D42" s="20">
        <f t="shared" si="7"/>
        <v>0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 outlineLevel="1" x14ac:dyDescent="0.3">
      <c r="A43" s="19" t="s">
        <v>63</v>
      </c>
      <c r="B43" s="47" t="s">
        <v>59</v>
      </c>
      <c r="C43" s="48">
        <v>5106150</v>
      </c>
      <c r="D43" s="20">
        <f t="shared" si="7"/>
        <v>0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1:16" outlineLevel="1" x14ac:dyDescent="0.3">
      <c r="A44" s="19" t="s">
        <v>64</v>
      </c>
      <c r="B44" s="47" t="s">
        <v>3</v>
      </c>
      <c r="C44" s="48">
        <v>5106160</v>
      </c>
      <c r="D44" s="20">
        <f t="shared" si="7"/>
        <v>0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outlineLevel="1" x14ac:dyDescent="0.3">
      <c r="A45" s="19" t="s">
        <v>65</v>
      </c>
      <c r="B45" s="47" t="s">
        <v>59</v>
      </c>
      <c r="C45" s="48">
        <v>5106141</v>
      </c>
      <c r="D45" s="55">
        <f t="shared" si="7"/>
        <v>1130000000</v>
      </c>
      <c r="E45" s="20">
        <v>100000000</v>
      </c>
      <c r="F45" s="20">
        <v>100000000</v>
      </c>
      <c r="G45" s="20">
        <v>100000000</v>
      </c>
      <c r="H45" s="20">
        <v>90000000</v>
      </c>
      <c r="I45" s="20">
        <v>90000000</v>
      </c>
      <c r="J45" s="20">
        <v>90000000</v>
      </c>
      <c r="K45" s="20">
        <v>90000000</v>
      </c>
      <c r="L45" s="20">
        <v>90000000</v>
      </c>
      <c r="M45" s="20">
        <v>90000000</v>
      </c>
      <c r="N45" s="20">
        <v>90000000</v>
      </c>
      <c r="O45" s="20">
        <v>100000000</v>
      </c>
      <c r="P45" s="20">
        <v>100000000</v>
      </c>
    </row>
    <row r="46" spans="1:16" x14ac:dyDescent="0.3">
      <c r="A46" s="15" t="s">
        <v>66</v>
      </c>
      <c r="B46" s="49" t="s">
        <v>3</v>
      </c>
      <c r="C46" s="50"/>
      <c r="D46" s="18">
        <f t="shared" ref="D46:P46" si="8">SUM(D47:D56)</f>
        <v>48000000</v>
      </c>
      <c r="E46" s="18">
        <f t="shared" si="8"/>
        <v>4000000</v>
      </c>
      <c r="F46" s="18">
        <f t="shared" si="8"/>
        <v>4000000</v>
      </c>
      <c r="G46" s="18">
        <f t="shared" si="8"/>
        <v>4000000</v>
      </c>
      <c r="H46" s="18">
        <f t="shared" si="8"/>
        <v>4000000</v>
      </c>
      <c r="I46" s="18">
        <f t="shared" si="8"/>
        <v>4000000</v>
      </c>
      <c r="J46" s="18">
        <f t="shared" si="8"/>
        <v>4000000</v>
      </c>
      <c r="K46" s="18">
        <f t="shared" si="8"/>
        <v>4000000</v>
      </c>
      <c r="L46" s="18">
        <f t="shared" si="8"/>
        <v>4000000</v>
      </c>
      <c r="M46" s="18">
        <f t="shared" si="8"/>
        <v>4000000</v>
      </c>
      <c r="N46" s="18">
        <f t="shared" si="8"/>
        <v>4000000</v>
      </c>
      <c r="O46" s="18">
        <f t="shared" si="8"/>
        <v>4000000</v>
      </c>
      <c r="P46" s="18">
        <f t="shared" si="8"/>
        <v>4000000</v>
      </c>
    </row>
    <row r="47" spans="1:16" outlineLevel="1" x14ac:dyDescent="0.3">
      <c r="A47" s="19" t="s">
        <v>67</v>
      </c>
      <c r="B47" s="47" t="s">
        <v>68</v>
      </c>
      <c r="C47" s="48">
        <v>5107110</v>
      </c>
      <c r="D47" s="20">
        <f t="shared" ref="D47:D56" si="9">SUM(E47:P47)</f>
        <v>0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outlineLevel="1" x14ac:dyDescent="0.3">
      <c r="A48" s="19" t="s">
        <v>69</v>
      </c>
      <c r="B48" s="47" t="s">
        <v>68</v>
      </c>
      <c r="C48" s="48">
        <v>5107130</v>
      </c>
      <c r="D48" s="20">
        <f t="shared" si="9"/>
        <v>0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outlineLevel="1" x14ac:dyDescent="0.3">
      <c r="A49" s="22" t="s">
        <v>70</v>
      </c>
      <c r="B49" s="47" t="s">
        <v>68</v>
      </c>
      <c r="C49" s="48">
        <v>5107120</v>
      </c>
      <c r="D49" s="20">
        <f t="shared" si="9"/>
        <v>0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pans="1:16" outlineLevel="1" x14ac:dyDescent="0.3">
      <c r="A50" s="19" t="s">
        <v>71</v>
      </c>
      <c r="B50" s="47" t="s">
        <v>68</v>
      </c>
      <c r="C50" s="48">
        <v>5107140</v>
      </c>
      <c r="D50" s="20">
        <f t="shared" si="9"/>
        <v>0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16" outlineLevel="1" x14ac:dyDescent="0.3">
      <c r="A51" s="19" t="s">
        <v>72</v>
      </c>
      <c r="B51" s="47" t="s">
        <v>68</v>
      </c>
      <c r="C51" s="48">
        <v>5107150</v>
      </c>
      <c r="D51" s="20">
        <f t="shared" si="9"/>
        <v>0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outlineLevel="1" x14ac:dyDescent="0.3">
      <c r="A52" s="19" t="s">
        <v>73</v>
      </c>
      <c r="B52" s="47" t="s">
        <v>68</v>
      </c>
      <c r="C52" s="48">
        <v>5107160</v>
      </c>
      <c r="D52" s="20">
        <f t="shared" si="9"/>
        <v>0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 outlineLevel="1" x14ac:dyDescent="0.3">
      <c r="A53" s="19" t="s">
        <v>74</v>
      </c>
      <c r="B53" s="47" t="s">
        <v>68</v>
      </c>
      <c r="C53" s="48">
        <v>5107170</v>
      </c>
      <c r="D53" s="20">
        <f t="shared" si="9"/>
        <v>0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outlineLevel="1" x14ac:dyDescent="0.3">
      <c r="A54" s="19" t="s">
        <v>75</v>
      </c>
      <c r="B54" s="47" t="s">
        <v>68</v>
      </c>
      <c r="C54" s="48">
        <v>5107180</v>
      </c>
      <c r="D54" s="20">
        <f t="shared" si="9"/>
        <v>0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outlineLevel="1" x14ac:dyDescent="0.3">
      <c r="A55" s="40" t="s">
        <v>76</v>
      </c>
      <c r="B55" s="47" t="s">
        <v>77</v>
      </c>
      <c r="C55" s="48">
        <v>5107190</v>
      </c>
      <c r="D55" s="20">
        <f t="shared" si="9"/>
        <v>0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 outlineLevel="1" x14ac:dyDescent="0.3">
      <c r="A56" s="19" t="s">
        <v>78</v>
      </c>
      <c r="B56" s="47" t="s">
        <v>79</v>
      </c>
      <c r="C56" s="48">
        <v>5107210</v>
      </c>
      <c r="D56" s="20">
        <f t="shared" si="9"/>
        <v>48000000</v>
      </c>
      <c r="E56" s="20">
        <v>4000000</v>
      </c>
      <c r="F56" s="20">
        <v>4000000</v>
      </c>
      <c r="G56" s="20">
        <v>4000000</v>
      </c>
      <c r="H56" s="20">
        <v>4000000</v>
      </c>
      <c r="I56" s="20">
        <v>4000000</v>
      </c>
      <c r="J56" s="20">
        <v>4000000</v>
      </c>
      <c r="K56" s="20">
        <v>4000000</v>
      </c>
      <c r="L56" s="20">
        <v>4000000</v>
      </c>
      <c r="M56" s="20">
        <v>4000000</v>
      </c>
      <c r="N56" s="20">
        <v>4000000</v>
      </c>
      <c r="O56" s="20">
        <v>4000000</v>
      </c>
      <c r="P56" s="20">
        <v>4000000</v>
      </c>
    </row>
    <row r="57" spans="1:16" x14ac:dyDescent="0.3">
      <c r="A57" s="15" t="s">
        <v>80</v>
      </c>
      <c r="B57" s="49" t="s">
        <v>3</v>
      </c>
      <c r="C57" s="50"/>
      <c r="D57" s="18">
        <f t="shared" ref="D57:P57" si="10">SUM(D58:D65)</f>
        <v>0</v>
      </c>
      <c r="E57" s="18">
        <f t="shared" si="10"/>
        <v>0</v>
      </c>
      <c r="F57" s="18">
        <f t="shared" si="10"/>
        <v>0</v>
      </c>
      <c r="G57" s="18">
        <f t="shared" si="10"/>
        <v>0</v>
      </c>
      <c r="H57" s="18">
        <f t="shared" si="10"/>
        <v>0</v>
      </c>
      <c r="I57" s="18">
        <f t="shared" si="10"/>
        <v>0</v>
      </c>
      <c r="J57" s="18">
        <f t="shared" si="10"/>
        <v>0</v>
      </c>
      <c r="K57" s="18">
        <f t="shared" si="10"/>
        <v>0</v>
      </c>
      <c r="L57" s="18">
        <f t="shared" si="10"/>
        <v>0</v>
      </c>
      <c r="M57" s="18">
        <f t="shared" si="10"/>
        <v>0</v>
      </c>
      <c r="N57" s="18">
        <f t="shared" si="10"/>
        <v>0</v>
      </c>
      <c r="O57" s="18">
        <f t="shared" si="10"/>
        <v>0</v>
      </c>
      <c r="P57" s="18">
        <f t="shared" si="10"/>
        <v>0</v>
      </c>
    </row>
    <row r="58" spans="1:16" outlineLevel="1" x14ac:dyDescent="0.3">
      <c r="A58" s="19" t="s">
        <v>81</v>
      </c>
      <c r="B58" s="47" t="s">
        <v>82</v>
      </c>
      <c r="C58" s="48">
        <v>5108110</v>
      </c>
      <c r="D58" s="20">
        <f t="shared" ref="D58:D65" si="11">SUM(E58:P58)</f>
        <v>0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outlineLevel="1" x14ac:dyDescent="0.3">
      <c r="A59" s="19" t="s">
        <v>83</v>
      </c>
      <c r="B59" s="47" t="s">
        <v>82</v>
      </c>
      <c r="C59" s="48">
        <v>5108120</v>
      </c>
      <c r="D59" s="20">
        <f t="shared" si="11"/>
        <v>0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 outlineLevel="1" x14ac:dyDescent="0.3">
      <c r="A60" s="19" t="s">
        <v>84</v>
      </c>
      <c r="B60" s="47" t="s">
        <v>82</v>
      </c>
      <c r="C60" s="48">
        <v>5108130</v>
      </c>
      <c r="D60" s="20">
        <f t="shared" si="11"/>
        <v>0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 outlineLevel="1" x14ac:dyDescent="0.3">
      <c r="A61" s="19" t="s">
        <v>85</v>
      </c>
      <c r="B61" s="47" t="s">
        <v>82</v>
      </c>
      <c r="C61" s="48">
        <v>5108140</v>
      </c>
      <c r="D61" s="20">
        <f t="shared" si="11"/>
        <v>0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outlineLevel="1" x14ac:dyDescent="0.3">
      <c r="A62" s="19" t="s">
        <v>86</v>
      </c>
      <c r="B62" s="47" t="s">
        <v>87</v>
      </c>
      <c r="C62" s="48">
        <v>5108150</v>
      </c>
      <c r="D62" s="20">
        <f t="shared" si="11"/>
        <v>0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 outlineLevel="1" x14ac:dyDescent="0.3">
      <c r="A63" s="19" t="s">
        <v>88</v>
      </c>
      <c r="B63" s="47" t="s">
        <v>82</v>
      </c>
      <c r="C63" s="48">
        <v>5108160</v>
      </c>
      <c r="D63" s="20">
        <f t="shared" si="11"/>
        <v>0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 outlineLevel="1" x14ac:dyDescent="0.3">
      <c r="A64" s="19" t="s">
        <v>89</v>
      </c>
      <c r="B64" s="47" t="s">
        <v>89</v>
      </c>
      <c r="C64" s="48">
        <v>5108161</v>
      </c>
      <c r="D64" s="20">
        <f t="shared" si="11"/>
        <v>0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 outlineLevel="1" x14ac:dyDescent="0.3">
      <c r="A65" s="19" t="s">
        <v>90</v>
      </c>
      <c r="B65" s="47" t="s">
        <v>90</v>
      </c>
      <c r="C65" s="48">
        <v>5108162</v>
      </c>
      <c r="D65" s="20">
        <f t="shared" si="11"/>
        <v>0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x14ac:dyDescent="0.3">
      <c r="A66" s="15" t="s">
        <v>91</v>
      </c>
      <c r="B66" s="49" t="s">
        <v>3</v>
      </c>
      <c r="C66" s="50"/>
      <c r="D66" s="18">
        <f t="shared" ref="D66:P66" si="12">SUM(D67:D77)</f>
        <v>384598896</v>
      </c>
      <c r="E66" s="18">
        <f t="shared" si="12"/>
        <v>32049908</v>
      </c>
      <c r="F66" s="18">
        <f t="shared" si="12"/>
        <v>32049908</v>
      </c>
      <c r="G66" s="18">
        <f t="shared" si="12"/>
        <v>32049908</v>
      </c>
      <c r="H66" s="18">
        <f t="shared" si="12"/>
        <v>32049908</v>
      </c>
      <c r="I66" s="18">
        <f t="shared" si="12"/>
        <v>32049908</v>
      </c>
      <c r="J66" s="18">
        <f t="shared" si="12"/>
        <v>32049908</v>
      </c>
      <c r="K66" s="18">
        <f t="shared" si="12"/>
        <v>32049908</v>
      </c>
      <c r="L66" s="18">
        <f t="shared" si="12"/>
        <v>32049908</v>
      </c>
      <c r="M66" s="18">
        <f t="shared" si="12"/>
        <v>32049908</v>
      </c>
      <c r="N66" s="18">
        <f t="shared" si="12"/>
        <v>32049908</v>
      </c>
      <c r="O66" s="18">
        <f t="shared" si="12"/>
        <v>32049908</v>
      </c>
      <c r="P66" s="18">
        <f t="shared" si="12"/>
        <v>32049908</v>
      </c>
    </row>
    <row r="67" spans="1:16" outlineLevel="1" x14ac:dyDescent="0.3">
      <c r="A67" s="19" t="s">
        <v>92</v>
      </c>
      <c r="B67" s="47" t="s">
        <v>93</v>
      </c>
      <c r="C67" s="48">
        <v>5109110</v>
      </c>
      <c r="D67" s="20">
        <f t="shared" ref="D67:D77" si="13">SUM(E67:P67)</f>
        <v>0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1:16" outlineLevel="1" x14ac:dyDescent="0.3">
      <c r="A68" s="19" t="s">
        <v>94</v>
      </c>
      <c r="B68" s="47" t="s">
        <v>93</v>
      </c>
      <c r="C68" s="48">
        <v>5109120</v>
      </c>
      <c r="D68" s="20">
        <f t="shared" si="13"/>
        <v>0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1:16" outlineLevel="1" x14ac:dyDescent="0.3">
      <c r="A69" s="19" t="s">
        <v>95</v>
      </c>
      <c r="B69" s="47" t="s">
        <v>93</v>
      </c>
      <c r="C69" s="48">
        <v>5109130</v>
      </c>
      <c r="D69" s="20">
        <f t="shared" si="13"/>
        <v>380856540</v>
      </c>
      <c r="E69" s="21">
        <v>31738045</v>
      </c>
      <c r="F69" s="21">
        <v>31738045</v>
      </c>
      <c r="G69" s="21">
        <v>31738045</v>
      </c>
      <c r="H69" s="21">
        <v>31738045</v>
      </c>
      <c r="I69" s="21">
        <v>31738045</v>
      </c>
      <c r="J69" s="21">
        <v>31738045</v>
      </c>
      <c r="K69" s="21">
        <v>31738045</v>
      </c>
      <c r="L69" s="21">
        <v>31738045</v>
      </c>
      <c r="M69" s="21">
        <v>31738045</v>
      </c>
      <c r="N69" s="21">
        <v>31738045</v>
      </c>
      <c r="O69" s="21">
        <v>31738045</v>
      </c>
      <c r="P69" s="21">
        <v>31738045</v>
      </c>
    </row>
    <row r="70" spans="1:16" outlineLevel="1" x14ac:dyDescent="0.3">
      <c r="A70" s="22" t="s">
        <v>96</v>
      </c>
      <c r="B70" s="47" t="s">
        <v>93</v>
      </c>
      <c r="C70" s="48">
        <v>5109140</v>
      </c>
      <c r="D70" s="20">
        <f t="shared" si="13"/>
        <v>3742356</v>
      </c>
      <c r="E70" s="21">
        <v>311863</v>
      </c>
      <c r="F70" s="21">
        <v>311863</v>
      </c>
      <c r="G70" s="21">
        <v>311863</v>
      </c>
      <c r="H70" s="21">
        <v>311863</v>
      </c>
      <c r="I70" s="21">
        <v>311863</v>
      </c>
      <c r="J70" s="21">
        <v>311863</v>
      </c>
      <c r="K70" s="21">
        <v>311863</v>
      </c>
      <c r="L70" s="21">
        <v>311863</v>
      </c>
      <c r="M70" s="21">
        <v>311863</v>
      </c>
      <c r="N70" s="21">
        <v>311863</v>
      </c>
      <c r="O70" s="21">
        <v>311863</v>
      </c>
      <c r="P70" s="21">
        <v>311863</v>
      </c>
    </row>
    <row r="71" spans="1:16" outlineLevel="1" x14ac:dyDescent="0.3">
      <c r="A71" s="19" t="s">
        <v>97</v>
      </c>
      <c r="B71" s="47" t="s">
        <v>93</v>
      </c>
      <c r="C71" s="48">
        <v>5109150</v>
      </c>
      <c r="D71" s="20">
        <f t="shared" si="13"/>
        <v>0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pans="1:16" outlineLevel="1" x14ac:dyDescent="0.3">
      <c r="A72" s="19" t="s">
        <v>98</v>
      </c>
      <c r="B72" s="47" t="s">
        <v>93</v>
      </c>
      <c r="C72" s="48">
        <v>5109160</v>
      </c>
      <c r="D72" s="20">
        <f t="shared" si="13"/>
        <v>0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 outlineLevel="1" x14ac:dyDescent="0.3">
      <c r="A73" s="19" t="s">
        <v>99</v>
      </c>
      <c r="B73" s="47" t="s">
        <v>93</v>
      </c>
      <c r="C73" s="48">
        <v>5109170</v>
      </c>
      <c r="D73" s="20">
        <f t="shared" si="13"/>
        <v>0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1:16" outlineLevel="1" x14ac:dyDescent="0.3">
      <c r="A74" s="19" t="s">
        <v>100</v>
      </c>
      <c r="B74" s="47" t="s">
        <v>93</v>
      </c>
      <c r="C74" s="48">
        <v>5109180</v>
      </c>
      <c r="D74" s="20">
        <f t="shared" si="13"/>
        <v>0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outlineLevel="1" x14ac:dyDescent="0.3">
      <c r="A75" s="19" t="s">
        <v>101</v>
      </c>
      <c r="B75" s="47" t="s">
        <v>93</v>
      </c>
      <c r="C75" s="48">
        <v>5109190</v>
      </c>
      <c r="D75" s="20">
        <f t="shared" si="13"/>
        <v>0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 outlineLevel="1" x14ac:dyDescent="0.3">
      <c r="A76" s="19" t="s">
        <v>102</v>
      </c>
      <c r="B76" s="47" t="s">
        <v>93</v>
      </c>
      <c r="C76" s="48">
        <v>5109210</v>
      </c>
      <c r="D76" s="20">
        <f t="shared" si="13"/>
        <v>0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outlineLevel="1" x14ac:dyDescent="0.3">
      <c r="A77" s="19" t="s">
        <v>103</v>
      </c>
      <c r="B77" s="47" t="s">
        <v>93</v>
      </c>
      <c r="C77" s="48">
        <v>5109220</v>
      </c>
      <c r="D77" s="20">
        <f t="shared" si="13"/>
        <v>0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6" x14ac:dyDescent="0.3">
      <c r="A78" s="15" t="s">
        <v>104</v>
      </c>
      <c r="B78" s="49" t="s">
        <v>3</v>
      </c>
      <c r="C78" s="50"/>
      <c r="D78" s="18">
        <f t="shared" ref="D78:P78" si="14">SUM(D79:D84)</f>
        <v>189600000</v>
      </c>
      <c r="E78" s="18">
        <f t="shared" si="14"/>
        <v>42000000</v>
      </c>
      <c r="F78" s="18">
        <f t="shared" si="14"/>
        <v>6000000</v>
      </c>
      <c r="G78" s="18">
        <f t="shared" si="14"/>
        <v>80000000</v>
      </c>
      <c r="H78" s="18">
        <f t="shared" si="14"/>
        <v>0</v>
      </c>
      <c r="I78" s="18">
        <f t="shared" si="14"/>
        <v>3800000</v>
      </c>
      <c r="J78" s="18">
        <f t="shared" si="14"/>
        <v>3250000</v>
      </c>
      <c r="K78" s="18">
        <f t="shared" si="14"/>
        <v>10250000</v>
      </c>
      <c r="L78" s="18">
        <f t="shared" si="14"/>
        <v>3250000</v>
      </c>
      <c r="M78" s="18">
        <f t="shared" si="14"/>
        <v>3250000</v>
      </c>
      <c r="N78" s="18">
        <f t="shared" si="14"/>
        <v>0</v>
      </c>
      <c r="O78" s="18">
        <f t="shared" si="14"/>
        <v>3000000</v>
      </c>
      <c r="P78" s="18">
        <f t="shared" si="14"/>
        <v>34800000</v>
      </c>
    </row>
    <row r="79" spans="1:16" outlineLevel="1" x14ac:dyDescent="0.3">
      <c r="A79" s="19" t="s">
        <v>105</v>
      </c>
      <c r="B79" s="47" t="s">
        <v>106</v>
      </c>
      <c r="C79" s="48">
        <v>5110110</v>
      </c>
      <c r="D79" s="55">
        <f t="shared" ref="D79:D84" si="15">SUM(E79:P79)</f>
        <v>96600000</v>
      </c>
      <c r="E79" s="20">
        <v>10000000</v>
      </c>
      <c r="F79" s="20">
        <v>6000000</v>
      </c>
      <c r="G79" s="20">
        <v>50000000</v>
      </c>
      <c r="H79" s="20"/>
      <c r="I79" s="20">
        <v>3800000</v>
      </c>
      <c r="J79" s="65">
        <f>13250000-10000000</f>
        <v>3250000</v>
      </c>
      <c r="K79" s="20">
        <v>250000</v>
      </c>
      <c r="L79" s="20">
        <v>3250000</v>
      </c>
      <c r="M79" s="65">
        <f>13250000-10000000</f>
        <v>3250000</v>
      </c>
      <c r="N79" s="20"/>
      <c r="O79" s="20">
        <v>3000000</v>
      </c>
      <c r="P79" s="20">
        <v>13800000</v>
      </c>
    </row>
    <row r="80" spans="1:16" outlineLevel="1" x14ac:dyDescent="0.3">
      <c r="A80" s="19" t="s">
        <v>107</v>
      </c>
      <c r="B80" s="47" t="s">
        <v>106</v>
      </c>
      <c r="C80" s="48">
        <v>5110120</v>
      </c>
      <c r="D80" s="20">
        <f t="shared" si="15"/>
        <v>0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pans="1:16" outlineLevel="1" x14ac:dyDescent="0.3">
      <c r="A81" s="19" t="s">
        <v>108</v>
      </c>
      <c r="B81" s="47" t="s">
        <v>106</v>
      </c>
      <c r="C81" s="48">
        <v>5110130</v>
      </c>
      <c r="D81" s="55">
        <f t="shared" si="15"/>
        <v>83000000</v>
      </c>
      <c r="E81" s="65">
        <f>42000000-10000000</f>
        <v>32000000</v>
      </c>
      <c r="F81" s="20"/>
      <c r="G81" s="20">
        <v>30000000</v>
      </c>
      <c r="H81" s="20"/>
      <c r="I81" s="20"/>
      <c r="J81" s="20"/>
      <c r="K81" s="20">
        <v>10000000</v>
      </c>
      <c r="L81" s="20"/>
      <c r="M81" s="20"/>
      <c r="N81" s="20"/>
      <c r="O81" s="20"/>
      <c r="P81" s="65">
        <f>21000000-10000000</f>
        <v>11000000</v>
      </c>
    </row>
    <row r="82" spans="1:16" outlineLevel="1" x14ac:dyDescent="0.3">
      <c r="A82" s="19" t="s">
        <v>109</v>
      </c>
      <c r="B82" s="47" t="s">
        <v>106</v>
      </c>
      <c r="C82" s="48">
        <v>5110140</v>
      </c>
      <c r="D82" s="20">
        <f t="shared" si="15"/>
        <v>0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pans="1:16" outlineLevel="1" x14ac:dyDescent="0.3">
      <c r="A83" s="19" t="s">
        <v>110</v>
      </c>
      <c r="B83" s="47" t="s">
        <v>111</v>
      </c>
      <c r="C83" s="48">
        <v>5110150</v>
      </c>
      <c r="D83" s="55">
        <f t="shared" si="15"/>
        <v>10000000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>
        <v>10000000</v>
      </c>
    </row>
    <row r="84" spans="1:16" outlineLevel="1" x14ac:dyDescent="0.3">
      <c r="A84" s="19" t="s">
        <v>112</v>
      </c>
      <c r="B84" s="47" t="s">
        <v>111</v>
      </c>
      <c r="C84" s="48" t="s">
        <v>113</v>
      </c>
      <c r="D84" s="20">
        <f t="shared" si="15"/>
        <v>0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pans="1:16" x14ac:dyDescent="0.3">
      <c r="A85" s="15" t="s">
        <v>114</v>
      </c>
      <c r="B85" s="49" t="s">
        <v>3</v>
      </c>
      <c r="C85" s="50"/>
      <c r="D85" s="18">
        <f t="shared" ref="D85:P85" si="16">SUM(D86:D92)</f>
        <v>0</v>
      </c>
      <c r="E85" s="18">
        <f t="shared" si="16"/>
        <v>0</v>
      </c>
      <c r="F85" s="18">
        <f t="shared" si="16"/>
        <v>0</v>
      </c>
      <c r="G85" s="18">
        <f t="shared" si="16"/>
        <v>0</v>
      </c>
      <c r="H85" s="18">
        <f t="shared" si="16"/>
        <v>0</v>
      </c>
      <c r="I85" s="18">
        <f t="shared" si="16"/>
        <v>0</v>
      </c>
      <c r="J85" s="18">
        <f t="shared" si="16"/>
        <v>0</v>
      </c>
      <c r="K85" s="18">
        <f t="shared" si="16"/>
        <v>0</v>
      </c>
      <c r="L85" s="18">
        <f t="shared" si="16"/>
        <v>0</v>
      </c>
      <c r="M85" s="18">
        <f t="shared" si="16"/>
        <v>0</v>
      </c>
      <c r="N85" s="18">
        <f t="shared" si="16"/>
        <v>0</v>
      </c>
      <c r="O85" s="18">
        <f t="shared" si="16"/>
        <v>0</v>
      </c>
      <c r="P85" s="18">
        <f t="shared" si="16"/>
        <v>0</v>
      </c>
    </row>
    <row r="86" spans="1:16" outlineLevel="1" x14ac:dyDescent="0.3">
      <c r="A86" s="19" t="s">
        <v>115</v>
      </c>
      <c r="B86" s="47" t="s">
        <v>116</v>
      </c>
      <c r="C86" s="48">
        <v>5111110</v>
      </c>
      <c r="D86" s="20">
        <f t="shared" ref="D86:D92" si="17">SUM(E86:P86)</f>
        <v>0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spans="1:16" outlineLevel="1" x14ac:dyDescent="0.3">
      <c r="A87" s="19" t="s">
        <v>117</v>
      </c>
      <c r="B87" s="47" t="s">
        <v>116</v>
      </c>
      <c r="C87" s="48">
        <v>5111120</v>
      </c>
      <c r="D87" s="20">
        <f t="shared" si="17"/>
        <v>0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spans="1:16" outlineLevel="1" x14ac:dyDescent="0.3">
      <c r="A88" s="19" t="s">
        <v>118</v>
      </c>
      <c r="B88" s="47" t="s">
        <v>116</v>
      </c>
      <c r="C88" s="48">
        <v>5111130</v>
      </c>
      <c r="D88" s="20">
        <f t="shared" si="17"/>
        <v>0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outlineLevel="1" x14ac:dyDescent="0.3">
      <c r="A89" s="19" t="s">
        <v>119</v>
      </c>
      <c r="B89" s="47" t="s">
        <v>116</v>
      </c>
      <c r="C89" s="48">
        <v>5111140</v>
      </c>
      <c r="D89" s="20">
        <f t="shared" si="17"/>
        <v>0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outlineLevel="1" x14ac:dyDescent="0.3">
      <c r="A90" s="19" t="s">
        <v>120</v>
      </c>
      <c r="B90" s="47" t="s">
        <v>116</v>
      </c>
      <c r="C90" s="48">
        <v>5111150</v>
      </c>
      <c r="D90" s="20">
        <f t="shared" si="17"/>
        <v>0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1:16" outlineLevel="1" x14ac:dyDescent="0.3">
      <c r="A91" s="19" t="s">
        <v>121</v>
      </c>
      <c r="B91" s="47" t="s">
        <v>116</v>
      </c>
      <c r="C91" s="48">
        <v>5111160</v>
      </c>
      <c r="D91" s="20">
        <f t="shared" si="17"/>
        <v>0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pans="1:16" outlineLevel="1" x14ac:dyDescent="0.3">
      <c r="A92" s="19" t="s">
        <v>122</v>
      </c>
      <c r="B92" s="47" t="s">
        <v>116</v>
      </c>
      <c r="C92" s="48">
        <v>5111141</v>
      </c>
      <c r="D92" s="20">
        <f t="shared" si="17"/>
        <v>0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x14ac:dyDescent="0.3">
      <c r="A93" s="15" t="s">
        <v>123</v>
      </c>
      <c r="B93" s="49" t="s">
        <v>3</v>
      </c>
      <c r="C93" s="50"/>
      <c r="D93" s="18">
        <f t="shared" ref="D93:P93" si="18">SUM(D94:D95)</f>
        <v>0</v>
      </c>
      <c r="E93" s="18">
        <f t="shared" si="18"/>
        <v>0</v>
      </c>
      <c r="F93" s="18">
        <f t="shared" si="18"/>
        <v>0</v>
      </c>
      <c r="G93" s="18">
        <f t="shared" si="18"/>
        <v>0</v>
      </c>
      <c r="H93" s="18">
        <f t="shared" si="18"/>
        <v>0</v>
      </c>
      <c r="I93" s="18">
        <f t="shared" si="18"/>
        <v>0</v>
      </c>
      <c r="J93" s="18">
        <f t="shared" si="18"/>
        <v>0</v>
      </c>
      <c r="K93" s="18">
        <f t="shared" si="18"/>
        <v>0</v>
      </c>
      <c r="L93" s="18">
        <f t="shared" si="18"/>
        <v>0</v>
      </c>
      <c r="M93" s="18">
        <f t="shared" si="18"/>
        <v>0</v>
      </c>
      <c r="N93" s="18">
        <f t="shared" si="18"/>
        <v>0</v>
      </c>
      <c r="O93" s="18">
        <f t="shared" si="18"/>
        <v>0</v>
      </c>
      <c r="P93" s="18">
        <f t="shared" si="18"/>
        <v>0</v>
      </c>
    </row>
    <row r="94" spans="1:16" outlineLevel="1" x14ac:dyDescent="0.3">
      <c r="A94" s="19" t="s">
        <v>124</v>
      </c>
      <c r="B94" s="47" t="s">
        <v>125</v>
      </c>
      <c r="C94" s="48">
        <v>5112110</v>
      </c>
      <c r="D94" s="20">
        <f>SUM(E94:P94)</f>
        <v>0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pans="1:16" outlineLevel="1" x14ac:dyDescent="0.3">
      <c r="A95" s="19" t="s">
        <v>126</v>
      </c>
      <c r="B95" s="47" t="s">
        <v>126</v>
      </c>
      <c r="C95" s="48">
        <v>5112120</v>
      </c>
      <c r="D95" s="20">
        <f>SUM(E95:P95)</f>
        <v>0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pans="1:16" x14ac:dyDescent="0.3">
      <c r="A96" s="15" t="s">
        <v>127</v>
      </c>
      <c r="B96" s="49" t="s">
        <v>3</v>
      </c>
      <c r="C96" s="50"/>
      <c r="D96" s="18">
        <f t="shared" ref="D96:P96" si="19">SUM(D97:D105)</f>
        <v>0</v>
      </c>
      <c r="E96" s="18">
        <f t="shared" si="19"/>
        <v>0</v>
      </c>
      <c r="F96" s="18">
        <f t="shared" si="19"/>
        <v>0</v>
      </c>
      <c r="G96" s="18">
        <f t="shared" si="19"/>
        <v>0</v>
      </c>
      <c r="H96" s="18">
        <f t="shared" si="19"/>
        <v>0</v>
      </c>
      <c r="I96" s="18">
        <f t="shared" si="19"/>
        <v>0</v>
      </c>
      <c r="J96" s="18">
        <f t="shared" si="19"/>
        <v>0</v>
      </c>
      <c r="K96" s="18">
        <f t="shared" si="19"/>
        <v>0</v>
      </c>
      <c r="L96" s="18">
        <f t="shared" si="19"/>
        <v>0</v>
      </c>
      <c r="M96" s="18">
        <f t="shared" si="19"/>
        <v>0</v>
      </c>
      <c r="N96" s="18">
        <f t="shared" si="19"/>
        <v>0</v>
      </c>
      <c r="O96" s="18">
        <f t="shared" si="19"/>
        <v>0</v>
      </c>
      <c r="P96" s="18">
        <f t="shared" si="19"/>
        <v>0</v>
      </c>
    </row>
    <row r="97" spans="1:16" outlineLevel="1" x14ac:dyDescent="0.3">
      <c r="A97" s="19" t="s">
        <v>128</v>
      </c>
      <c r="B97" s="47" t="s">
        <v>129</v>
      </c>
      <c r="C97" s="48">
        <v>5113110</v>
      </c>
      <c r="D97" s="20">
        <f t="shared" ref="D97:D105" si="20">SUM(E97:P97)</f>
        <v>0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pans="1:16" outlineLevel="1" x14ac:dyDescent="0.3">
      <c r="A98" s="19" t="s">
        <v>130</v>
      </c>
      <c r="B98" s="47" t="s">
        <v>131</v>
      </c>
      <c r="C98" s="48">
        <v>5113120</v>
      </c>
      <c r="D98" s="20">
        <f t="shared" si="20"/>
        <v>0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pans="1:16" outlineLevel="1" x14ac:dyDescent="0.3">
      <c r="A99" s="19" t="s">
        <v>132</v>
      </c>
      <c r="B99" s="47" t="s">
        <v>133</v>
      </c>
      <c r="C99" s="48">
        <v>5113130</v>
      </c>
      <c r="D99" s="20">
        <f t="shared" si="20"/>
        <v>0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pans="1:16" outlineLevel="1" x14ac:dyDescent="0.3">
      <c r="A100" s="19" t="s">
        <v>134</v>
      </c>
      <c r="B100" s="47" t="s">
        <v>133</v>
      </c>
      <c r="C100" s="48">
        <v>5113140</v>
      </c>
      <c r="D100" s="20">
        <f t="shared" si="20"/>
        <v>0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pans="1:16" outlineLevel="1" x14ac:dyDescent="0.3">
      <c r="A101" s="19" t="s">
        <v>135</v>
      </c>
      <c r="B101" s="47" t="s">
        <v>136</v>
      </c>
      <c r="C101" s="48">
        <v>5113150</v>
      </c>
      <c r="D101" s="20">
        <f t="shared" si="20"/>
        <v>0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1:16" outlineLevel="1" x14ac:dyDescent="0.3">
      <c r="A102" s="19" t="s">
        <v>137</v>
      </c>
      <c r="B102" s="47" t="s">
        <v>133</v>
      </c>
      <c r="C102" s="48"/>
      <c r="D102" s="20">
        <f t="shared" si="20"/>
        <v>0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1:16" outlineLevel="1" x14ac:dyDescent="0.3">
      <c r="A103" s="19" t="s">
        <v>138</v>
      </c>
      <c r="B103" s="47" t="s">
        <v>133</v>
      </c>
      <c r="C103" s="48">
        <v>5113170</v>
      </c>
      <c r="D103" s="20">
        <f t="shared" si="20"/>
        <v>0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outlineLevel="1" x14ac:dyDescent="0.3">
      <c r="A104" s="19" t="s">
        <v>139</v>
      </c>
      <c r="B104" s="47" t="s">
        <v>3</v>
      </c>
      <c r="C104" s="48">
        <v>5113210</v>
      </c>
      <c r="D104" s="20">
        <f t="shared" si="20"/>
        <v>0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outlineLevel="1" x14ac:dyDescent="0.3">
      <c r="A105" s="19" t="s">
        <v>140</v>
      </c>
      <c r="B105" s="51" t="s">
        <v>141</v>
      </c>
      <c r="C105" s="48">
        <v>5113160</v>
      </c>
      <c r="D105" s="20">
        <f t="shared" si="20"/>
        <v>0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pans="1:16" x14ac:dyDescent="0.3">
      <c r="A106" s="15" t="s">
        <v>142</v>
      </c>
      <c r="B106" s="49" t="s">
        <v>3</v>
      </c>
      <c r="C106" s="50"/>
      <c r="D106" s="18">
        <f t="shared" ref="D106:P106" si="21">D107</f>
        <v>0</v>
      </c>
      <c r="E106" s="18">
        <f t="shared" si="21"/>
        <v>0</v>
      </c>
      <c r="F106" s="18">
        <f t="shared" si="21"/>
        <v>0</v>
      </c>
      <c r="G106" s="18">
        <f t="shared" si="21"/>
        <v>0</v>
      </c>
      <c r="H106" s="18">
        <f t="shared" si="21"/>
        <v>0</v>
      </c>
      <c r="I106" s="18">
        <f t="shared" si="21"/>
        <v>0</v>
      </c>
      <c r="J106" s="18">
        <f t="shared" si="21"/>
        <v>0</v>
      </c>
      <c r="K106" s="18">
        <f t="shared" si="21"/>
        <v>0</v>
      </c>
      <c r="L106" s="18">
        <f t="shared" si="21"/>
        <v>0</v>
      </c>
      <c r="M106" s="18">
        <f t="shared" si="21"/>
        <v>0</v>
      </c>
      <c r="N106" s="18">
        <f t="shared" si="21"/>
        <v>0</v>
      </c>
      <c r="O106" s="18">
        <f t="shared" si="21"/>
        <v>0</v>
      </c>
      <c r="P106" s="18">
        <f t="shared" si="21"/>
        <v>0</v>
      </c>
    </row>
    <row r="107" spans="1:16" outlineLevel="1" x14ac:dyDescent="0.3">
      <c r="A107" s="19" t="s">
        <v>143</v>
      </c>
      <c r="B107" s="47" t="s">
        <v>144</v>
      </c>
      <c r="C107" s="48">
        <v>5115110</v>
      </c>
      <c r="D107" s="20">
        <f>SUM(E107:P107)</f>
        <v>0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spans="1:16" x14ac:dyDescent="0.3">
      <c r="A108" s="15" t="s">
        <v>145</v>
      </c>
      <c r="B108" s="49" t="s">
        <v>3</v>
      </c>
      <c r="C108" s="50"/>
      <c r="D108" s="18">
        <f t="shared" ref="D108:P108" si="22">SUM(D109:D115)</f>
        <v>0</v>
      </c>
      <c r="E108" s="18">
        <f t="shared" si="22"/>
        <v>0</v>
      </c>
      <c r="F108" s="18">
        <f t="shared" si="22"/>
        <v>0</v>
      </c>
      <c r="G108" s="18">
        <f t="shared" si="22"/>
        <v>0</v>
      </c>
      <c r="H108" s="18">
        <f t="shared" si="22"/>
        <v>0</v>
      </c>
      <c r="I108" s="18">
        <f t="shared" si="22"/>
        <v>0</v>
      </c>
      <c r="J108" s="18">
        <f t="shared" si="22"/>
        <v>0</v>
      </c>
      <c r="K108" s="18">
        <f t="shared" si="22"/>
        <v>0</v>
      </c>
      <c r="L108" s="18">
        <f t="shared" si="22"/>
        <v>0</v>
      </c>
      <c r="M108" s="18">
        <f t="shared" si="22"/>
        <v>0</v>
      </c>
      <c r="N108" s="18">
        <f t="shared" si="22"/>
        <v>0</v>
      </c>
      <c r="O108" s="18">
        <f t="shared" si="22"/>
        <v>0</v>
      </c>
      <c r="P108" s="18">
        <f t="shared" si="22"/>
        <v>0</v>
      </c>
    </row>
    <row r="109" spans="1:16" outlineLevel="1" x14ac:dyDescent="0.3">
      <c r="A109" s="19" t="s">
        <v>146</v>
      </c>
      <c r="B109" s="47" t="s">
        <v>147</v>
      </c>
      <c r="C109" s="48">
        <v>5116110</v>
      </c>
      <c r="D109" s="20">
        <f t="shared" ref="D109:D115" si="23">SUM(E109:P109)</f>
        <v>0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spans="1:16" outlineLevel="1" x14ac:dyDescent="0.3">
      <c r="A110" s="19" t="s">
        <v>148</v>
      </c>
      <c r="B110" s="47" t="s">
        <v>147</v>
      </c>
      <c r="C110" s="48">
        <v>5116120</v>
      </c>
      <c r="D110" s="20">
        <f t="shared" si="23"/>
        <v>0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1:16" outlineLevel="1" x14ac:dyDescent="0.3">
      <c r="A111" s="19" t="s">
        <v>149</v>
      </c>
      <c r="B111" s="47" t="s">
        <v>150</v>
      </c>
      <c r="C111" s="48">
        <v>5116130</v>
      </c>
      <c r="D111" s="20">
        <f t="shared" si="23"/>
        <v>0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</row>
    <row r="112" spans="1:16" outlineLevel="1" x14ac:dyDescent="0.3">
      <c r="A112" s="19" t="s">
        <v>151</v>
      </c>
      <c r="B112" s="47" t="s">
        <v>147</v>
      </c>
      <c r="C112" s="48">
        <v>5116140</v>
      </c>
      <c r="D112" s="20">
        <f t="shared" si="23"/>
        <v>0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spans="1:16" outlineLevel="1" x14ac:dyDescent="0.3">
      <c r="A113" s="19" t="s">
        <v>152</v>
      </c>
      <c r="B113" s="47" t="s">
        <v>150</v>
      </c>
      <c r="C113" s="48">
        <v>5116150</v>
      </c>
      <c r="D113" s="20">
        <f t="shared" si="23"/>
        <v>0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spans="1:16" outlineLevel="1" x14ac:dyDescent="0.3">
      <c r="A114" s="19" t="s">
        <v>153</v>
      </c>
      <c r="B114" s="47" t="s">
        <v>147</v>
      </c>
      <c r="C114" s="48">
        <v>5116160</v>
      </c>
      <c r="D114" s="20">
        <f t="shared" si="23"/>
        <v>0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1:16" outlineLevel="1" x14ac:dyDescent="0.3">
      <c r="A115" s="19" t="s">
        <v>154</v>
      </c>
      <c r="B115" s="47" t="s">
        <v>147</v>
      </c>
      <c r="C115" s="48">
        <v>5116111</v>
      </c>
      <c r="D115" s="20">
        <f t="shared" si="23"/>
        <v>0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spans="1:16" x14ac:dyDescent="0.3">
      <c r="A116" s="15" t="s">
        <v>155</v>
      </c>
      <c r="B116" s="49" t="s">
        <v>3</v>
      </c>
      <c r="C116" s="50"/>
      <c r="D116" s="18">
        <f t="shared" ref="D116:P116" si="24">D117</f>
        <v>0</v>
      </c>
      <c r="E116" s="18">
        <f t="shared" si="24"/>
        <v>0</v>
      </c>
      <c r="F116" s="18">
        <f t="shared" si="24"/>
        <v>0</v>
      </c>
      <c r="G116" s="18">
        <f t="shared" si="24"/>
        <v>0</v>
      </c>
      <c r="H116" s="18">
        <f t="shared" si="24"/>
        <v>0</v>
      </c>
      <c r="I116" s="18">
        <f t="shared" si="24"/>
        <v>0</v>
      </c>
      <c r="J116" s="18">
        <f t="shared" si="24"/>
        <v>0</v>
      </c>
      <c r="K116" s="18">
        <f t="shared" si="24"/>
        <v>0</v>
      </c>
      <c r="L116" s="18">
        <f t="shared" si="24"/>
        <v>0</v>
      </c>
      <c r="M116" s="18">
        <f t="shared" si="24"/>
        <v>0</v>
      </c>
      <c r="N116" s="18">
        <f t="shared" si="24"/>
        <v>0</v>
      </c>
      <c r="O116" s="18">
        <f t="shared" si="24"/>
        <v>0</v>
      </c>
      <c r="P116" s="18">
        <f t="shared" si="24"/>
        <v>0</v>
      </c>
    </row>
    <row r="117" spans="1:16" outlineLevel="1" x14ac:dyDescent="0.3">
      <c r="A117" s="19" t="s">
        <v>156</v>
      </c>
      <c r="B117" s="47" t="s">
        <v>157</v>
      </c>
      <c r="C117" s="48">
        <v>5117110</v>
      </c>
      <c r="D117" s="20">
        <f>SUM(E117:P117)</f>
        <v>0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spans="1:16" x14ac:dyDescent="0.3">
      <c r="A118" s="15" t="s">
        <v>158</v>
      </c>
      <c r="B118" s="49" t="s">
        <v>3</v>
      </c>
      <c r="C118" s="50"/>
      <c r="D118" s="18">
        <f t="shared" ref="D118:P118" si="25">SUM(D119:D123)</f>
        <v>0</v>
      </c>
      <c r="E118" s="18">
        <f t="shared" si="25"/>
        <v>0</v>
      </c>
      <c r="F118" s="18">
        <f t="shared" si="25"/>
        <v>0</v>
      </c>
      <c r="G118" s="18">
        <f t="shared" si="25"/>
        <v>0</v>
      </c>
      <c r="H118" s="18">
        <f t="shared" si="25"/>
        <v>0</v>
      </c>
      <c r="I118" s="18">
        <f t="shared" si="25"/>
        <v>0</v>
      </c>
      <c r="J118" s="18">
        <f t="shared" si="25"/>
        <v>0</v>
      </c>
      <c r="K118" s="18">
        <f t="shared" si="25"/>
        <v>0</v>
      </c>
      <c r="L118" s="18">
        <f t="shared" si="25"/>
        <v>0</v>
      </c>
      <c r="M118" s="18">
        <f t="shared" si="25"/>
        <v>0</v>
      </c>
      <c r="N118" s="18">
        <f t="shared" si="25"/>
        <v>0</v>
      </c>
      <c r="O118" s="18">
        <f t="shared" si="25"/>
        <v>0</v>
      </c>
      <c r="P118" s="18">
        <f t="shared" si="25"/>
        <v>0</v>
      </c>
    </row>
    <row r="119" spans="1:16" outlineLevel="1" x14ac:dyDescent="0.3">
      <c r="A119" s="19" t="s">
        <v>159</v>
      </c>
      <c r="B119" s="47" t="s">
        <v>160</v>
      </c>
      <c r="C119" s="48">
        <v>5118110</v>
      </c>
      <c r="D119" s="20">
        <f>SUM(E119:P119)</f>
        <v>0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spans="1:16" outlineLevel="1" x14ac:dyDescent="0.3">
      <c r="A120" s="19" t="s">
        <v>161</v>
      </c>
      <c r="B120" s="47" t="s">
        <v>162</v>
      </c>
      <c r="C120" s="48">
        <v>5118120</v>
      </c>
      <c r="D120" s="20">
        <f>SUM(E120:P120)</f>
        <v>0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pans="1:16" outlineLevel="1" x14ac:dyDescent="0.3">
      <c r="A121" s="19" t="s">
        <v>163</v>
      </c>
      <c r="B121" s="47" t="s">
        <v>164</v>
      </c>
      <c r="C121" s="48">
        <v>5118130</v>
      </c>
      <c r="D121" s="20">
        <f>SUM(E121:P121)</f>
        <v>0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pans="1:16" outlineLevel="1" x14ac:dyDescent="0.3">
      <c r="A122" s="19" t="s">
        <v>165</v>
      </c>
      <c r="B122" s="47" t="s">
        <v>3</v>
      </c>
      <c r="C122" s="48">
        <v>5118140</v>
      </c>
      <c r="D122" s="20">
        <f>SUM(E122:P122)</f>
        <v>0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1:16" outlineLevel="1" x14ac:dyDescent="0.3">
      <c r="A123" s="19" t="s">
        <v>166</v>
      </c>
      <c r="B123" s="47" t="s">
        <v>3</v>
      </c>
      <c r="C123" s="48">
        <v>5118150</v>
      </c>
      <c r="D123" s="20">
        <f>SUM(E123:P123)</f>
        <v>0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pans="1:16" x14ac:dyDescent="0.3">
      <c r="A124" s="15" t="s">
        <v>167</v>
      </c>
      <c r="B124" s="49" t="s">
        <v>3</v>
      </c>
      <c r="C124" s="50"/>
      <c r="D124" s="18">
        <f t="shared" ref="D124:P124" si="26">SUM(D125:D126)</f>
        <v>864000</v>
      </c>
      <c r="E124" s="18">
        <f t="shared" si="26"/>
        <v>72000</v>
      </c>
      <c r="F124" s="18">
        <f t="shared" si="26"/>
        <v>72000</v>
      </c>
      <c r="G124" s="18">
        <f t="shared" si="26"/>
        <v>72000</v>
      </c>
      <c r="H124" s="18">
        <f t="shared" si="26"/>
        <v>72000</v>
      </c>
      <c r="I124" s="18">
        <f t="shared" si="26"/>
        <v>72000</v>
      </c>
      <c r="J124" s="18">
        <f t="shared" si="26"/>
        <v>72000</v>
      </c>
      <c r="K124" s="18">
        <f t="shared" si="26"/>
        <v>72000</v>
      </c>
      <c r="L124" s="18">
        <f t="shared" si="26"/>
        <v>72000</v>
      </c>
      <c r="M124" s="18">
        <f t="shared" si="26"/>
        <v>72000</v>
      </c>
      <c r="N124" s="18">
        <f t="shared" si="26"/>
        <v>72000</v>
      </c>
      <c r="O124" s="18">
        <f t="shared" si="26"/>
        <v>72000</v>
      </c>
      <c r="P124" s="18">
        <f t="shared" si="26"/>
        <v>72000</v>
      </c>
    </row>
    <row r="125" spans="1:16" outlineLevel="1" x14ac:dyDescent="0.3">
      <c r="A125" s="19" t="s">
        <v>168</v>
      </c>
      <c r="B125" s="47" t="s">
        <v>169</v>
      </c>
      <c r="C125" s="48">
        <v>5130110</v>
      </c>
      <c r="D125" s="20">
        <f>SUM(E125:P125)</f>
        <v>0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1:16" outlineLevel="1" x14ac:dyDescent="0.3">
      <c r="A126" s="19" t="s">
        <v>170</v>
      </c>
      <c r="B126" s="47" t="s">
        <v>171</v>
      </c>
      <c r="C126" s="48">
        <v>5130120</v>
      </c>
      <c r="D126" s="20">
        <f>SUM(E126:P126)</f>
        <v>864000</v>
      </c>
      <c r="E126" s="20">
        <v>72000</v>
      </c>
      <c r="F126" s="20">
        <v>72000</v>
      </c>
      <c r="G126" s="20">
        <v>72000</v>
      </c>
      <c r="H126" s="20">
        <v>72000</v>
      </c>
      <c r="I126" s="20">
        <v>72000</v>
      </c>
      <c r="J126" s="20">
        <v>72000</v>
      </c>
      <c r="K126" s="20">
        <v>72000</v>
      </c>
      <c r="L126" s="20">
        <v>72000</v>
      </c>
      <c r="M126" s="20">
        <v>72000</v>
      </c>
      <c r="N126" s="20">
        <v>72000</v>
      </c>
      <c r="O126" s="20">
        <v>72000</v>
      </c>
      <c r="P126" s="20">
        <v>72000</v>
      </c>
    </row>
    <row r="127" spans="1:16" x14ac:dyDescent="0.3">
      <c r="A127" s="15" t="s">
        <v>172</v>
      </c>
      <c r="B127" s="49" t="s">
        <v>3</v>
      </c>
      <c r="C127" s="50"/>
      <c r="D127" s="18">
        <f t="shared" ref="D127:P127" si="27">SUM(D128:D135)</f>
        <v>2000000</v>
      </c>
      <c r="E127" s="18">
        <f t="shared" si="27"/>
        <v>200000</v>
      </c>
      <c r="F127" s="18">
        <f t="shared" si="27"/>
        <v>200000</v>
      </c>
      <c r="G127" s="18">
        <f t="shared" si="27"/>
        <v>100000</v>
      </c>
      <c r="H127" s="18">
        <f t="shared" si="27"/>
        <v>200000</v>
      </c>
      <c r="I127" s="18">
        <f t="shared" si="27"/>
        <v>200000</v>
      </c>
      <c r="J127" s="18">
        <f t="shared" si="27"/>
        <v>100000</v>
      </c>
      <c r="K127" s="18">
        <f t="shared" si="27"/>
        <v>200000</v>
      </c>
      <c r="L127" s="18">
        <f t="shared" si="27"/>
        <v>200000</v>
      </c>
      <c r="M127" s="18">
        <f t="shared" si="27"/>
        <v>100000</v>
      </c>
      <c r="N127" s="18">
        <f t="shared" si="27"/>
        <v>200000</v>
      </c>
      <c r="O127" s="18">
        <f t="shared" si="27"/>
        <v>200000</v>
      </c>
      <c r="P127" s="18">
        <f t="shared" si="27"/>
        <v>100000</v>
      </c>
    </row>
    <row r="128" spans="1:16" outlineLevel="1" x14ac:dyDescent="0.3">
      <c r="A128" s="19" t="s">
        <v>173</v>
      </c>
      <c r="B128" s="47" t="s">
        <v>174</v>
      </c>
      <c r="C128" s="48">
        <v>5119110</v>
      </c>
      <c r="D128" s="20">
        <f t="shared" ref="D128:D135" si="28">SUM(E128:P128)</f>
        <v>0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pans="1:16" outlineLevel="1" x14ac:dyDescent="0.3">
      <c r="A129" s="19" t="s">
        <v>175</v>
      </c>
      <c r="B129" s="47" t="s">
        <v>176</v>
      </c>
      <c r="C129" s="48">
        <v>5119120</v>
      </c>
      <c r="D129" s="20">
        <f t="shared" si="28"/>
        <v>0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spans="1:16" outlineLevel="1" x14ac:dyDescent="0.3">
      <c r="A130" s="19" t="s">
        <v>177</v>
      </c>
      <c r="B130" s="47" t="s">
        <v>178</v>
      </c>
      <c r="C130" s="48">
        <v>5119130</v>
      </c>
      <c r="D130" s="20">
        <f t="shared" si="28"/>
        <v>0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spans="1:16" outlineLevel="1" x14ac:dyDescent="0.3">
      <c r="A131" s="19" t="s">
        <v>179</v>
      </c>
      <c r="B131" s="47" t="s">
        <v>180</v>
      </c>
      <c r="C131" s="48">
        <v>5119140</v>
      </c>
      <c r="D131" s="20">
        <f t="shared" si="28"/>
        <v>0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spans="1:16" outlineLevel="1" x14ac:dyDescent="0.3">
      <c r="A132" s="19" t="s">
        <v>181</v>
      </c>
      <c r="B132" s="47" t="s">
        <v>182</v>
      </c>
      <c r="C132" s="48">
        <v>5119150</v>
      </c>
      <c r="D132" s="20">
        <f t="shared" si="28"/>
        <v>2000000</v>
      </c>
      <c r="E132" s="20">
        <v>200000</v>
      </c>
      <c r="F132" s="20">
        <v>200000</v>
      </c>
      <c r="G132" s="20">
        <v>100000</v>
      </c>
      <c r="H132" s="20">
        <v>200000</v>
      </c>
      <c r="I132" s="20">
        <v>200000</v>
      </c>
      <c r="J132" s="20">
        <v>100000</v>
      </c>
      <c r="K132" s="20">
        <v>200000</v>
      </c>
      <c r="L132" s="20">
        <v>200000</v>
      </c>
      <c r="M132" s="20">
        <v>100000</v>
      </c>
      <c r="N132" s="20">
        <v>200000</v>
      </c>
      <c r="O132" s="20">
        <v>200000</v>
      </c>
      <c r="P132" s="20">
        <v>100000</v>
      </c>
    </row>
    <row r="133" spans="1:16" outlineLevel="1" x14ac:dyDescent="0.3">
      <c r="A133" s="19" t="s">
        <v>183</v>
      </c>
      <c r="B133" s="47" t="s">
        <v>184</v>
      </c>
      <c r="C133" s="48">
        <v>5119160</v>
      </c>
      <c r="D133" s="20">
        <f t="shared" si="28"/>
        <v>0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pans="1:16" outlineLevel="1" x14ac:dyDescent="0.3">
      <c r="A134" s="19" t="s">
        <v>185</v>
      </c>
      <c r="B134" s="47" t="s">
        <v>185</v>
      </c>
      <c r="C134" s="48">
        <v>5119121</v>
      </c>
      <c r="D134" s="20">
        <f t="shared" si="28"/>
        <v>0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spans="1:16" outlineLevel="1" x14ac:dyDescent="0.3">
      <c r="A135" s="19" t="s">
        <v>186</v>
      </c>
      <c r="B135" s="51" t="s">
        <v>187</v>
      </c>
      <c r="C135" s="48">
        <v>5119151</v>
      </c>
      <c r="D135" s="20">
        <f t="shared" si="28"/>
        <v>0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pans="1:16" x14ac:dyDescent="0.3">
      <c r="A136" s="15" t="s">
        <v>188</v>
      </c>
      <c r="B136" s="49" t="s">
        <v>3</v>
      </c>
      <c r="C136" s="50"/>
      <c r="D136" s="18">
        <f t="shared" ref="D136:P136" si="29">SUM(D137:D140)</f>
        <v>439600000</v>
      </c>
      <c r="E136" s="18">
        <f t="shared" si="29"/>
        <v>26000000</v>
      </c>
      <c r="F136" s="18">
        <f t="shared" si="29"/>
        <v>29600000</v>
      </c>
      <c r="G136" s="18">
        <f t="shared" si="29"/>
        <v>96900000</v>
      </c>
      <c r="H136" s="18">
        <f t="shared" si="29"/>
        <v>20400000</v>
      </c>
      <c r="I136" s="18">
        <f t="shared" si="29"/>
        <v>4500000</v>
      </c>
      <c r="J136" s="18">
        <f t="shared" si="29"/>
        <v>50500000</v>
      </c>
      <c r="K136" s="18">
        <f t="shared" si="29"/>
        <v>8800000</v>
      </c>
      <c r="L136" s="18">
        <f t="shared" si="29"/>
        <v>6500000</v>
      </c>
      <c r="M136" s="18">
        <f t="shared" si="29"/>
        <v>95200000</v>
      </c>
      <c r="N136" s="18">
        <f t="shared" si="29"/>
        <v>8400000</v>
      </c>
      <c r="O136" s="18">
        <f t="shared" si="29"/>
        <v>5500000</v>
      </c>
      <c r="P136" s="18">
        <f t="shared" si="29"/>
        <v>87300000</v>
      </c>
    </row>
    <row r="137" spans="1:16" outlineLevel="1" x14ac:dyDescent="0.3">
      <c r="A137" s="19" t="s">
        <v>189</v>
      </c>
      <c r="B137" s="47" t="s">
        <v>190</v>
      </c>
      <c r="C137" s="48">
        <v>5120110</v>
      </c>
      <c r="D137" s="55">
        <f>SUM(E137:P137)</f>
        <v>5500000</v>
      </c>
      <c r="E137" s="20"/>
      <c r="F137" s="20">
        <v>4500000</v>
      </c>
      <c r="G137" s="20"/>
      <c r="H137" s="20"/>
      <c r="I137" s="20"/>
      <c r="J137" s="20"/>
      <c r="K137" s="20"/>
      <c r="L137" s="20"/>
      <c r="M137" s="20"/>
      <c r="N137" s="20"/>
      <c r="O137" s="20">
        <v>1000000</v>
      </c>
      <c r="P137" s="20"/>
    </row>
    <row r="138" spans="1:16" outlineLevel="1" x14ac:dyDescent="0.3">
      <c r="A138" s="22" t="s">
        <v>191</v>
      </c>
      <c r="B138" s="47" t="s">
        <v>190</v>
      </c>
      <c r="C138" s="48">
        <v>5120140</v>
      </c>
      <c r="D138" s="20">
        <f>SUM(E138:P138)</f>
        <v>0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spans="1:16" outlineLevel="1" x14ac:dyDescent="0.3">
      <c r="A139" s="22" t="s">
        <v>192</v>
      </c>
      <c r="B139" s="47" t="s">
        <v>190</v>
      </c>
      <c r="C139" s="48">
        <v>5120130</v>
      </c>
      <c r="D139" s="20">
        <f>SUM(E139:P139)</f>
        <v>0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16" outlineLevel="1" x14ac:dyDescent="0.3">
      <c r="A140" s="19" t="s">
        <v>193</v>
      </c>
      <c r="B140" s="47" t="s">
        <v>190</v>
      </c>
      <c r="C140" s="48">
        <v>5120120</v>
      </c>
      <c r="D140" s="55">
        <f>SUM(E140:P140)</f>
        <v>434100000</v>
      </c>
      <c r="E140" s="20">
        <v>26000000</v>
      </c>
      <c r="F140" s="20">
        <v>25100000</v>
      </c>
      <c r="G140" s="20">
        <v>96900000</v>
      </c>
      <c r="H140" s="20">
        <v>20400000</v>
      </c>
      <c r="I140" s="20">
        <v>4500000</v>
      </c>
      <c r="J140" s="20">
        <v>50500000</v>
      </c>
      <c r="K140" s="20">
        <v>8800000</v>
      </c>
      <c r="L140" s="20">
        <v>6500000</v>
      </c>
      <c r="M140" s="20">
        <v>95200000</v>
      </c>
      <c r="N140" s="20">
        <v>8400000</v>
      </c>
      <c r="O140" s="20">
        <v>4500000</v>
      </c>
      <c r="P140" s="20">
        <v>87300000</v>
      </c>
    </row>
    <row r="141" spans="1:16" x14ac:dyDescent="0.3">
      <c r="A141" s="15" t="s">
        <v>194</v>
      </c>
      <c r="B141" s="49" t="s">
        <v>3</v>
      </c>
      <c r="C141" s="50"/>
      <c r="D141" s="18">
        <f t="shared" ref="D141:P141" si="30">SUM(D142:D145)</f>
        <v>79350000</v>
      </c>
      <c r="E141" s="18">
        <f t="shared" si="30"/>
        <v>3150000</v>
      </c>
      <c r="F141" s="18">
        <f t="shared" si="30"/>
        <v>850000</v>
      </c>
      <c r="G141" s="18">
        <f t="shared" si="30"/>
        <v>7550000</v>
      </c>
      <c r="H141" s="18">
        <f t="shared" si="30"/>
        <v>450000</v>
      </c>
      <c r="I141" s="18">
        <f t="shared" si="30"/>
        <v>10450000</v>
      </c>
      <c r="J141" s="18">
        <f t="shared" si="30"/>
        <v>11850000</v>
      </c>
      <c r="K141" s="18">
        <f t="shared" si="30"/>
        <v>3650000</v>
      </c>
      <c r="L141" s="18">
        <f t="shared" si="30"/>
        <v>450000</v>
      </c>
      <c r="M141" s="18">
        <f t="shared" si="30"/>
        <v>13250000</v>
      </c>
      <c r="N141" s="18">
        <f t="shared" si="30"/>
        <v>15800000</v>
      </c>
      <c r="O141" s="18">
        <f t="shared" si="30"/>
        <v>450000</v>
      </c>
      <c r="P141" s="18">
        <f t="shared" si="30"/>
        <v>11450000</v>
      </c>
    </row>
    <row r="142" spans="1:16" outlineLevel="1" x14ac:dyDescent="0.3">
      <c r="A142" s="19" t="s">
        <v>195</v>
      </c>
      <c r="B142" s="47" t="s">
        <v>195</v>
      </c>
      <c r="C142" s="48">
        <v>5121110</v>
      </c>
      <c r="D142" s="20">
        <f>SUM(E142:P142)</f>
        <v>0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spans="1:16" outlineLevel="1" x14ac:dyDescent="0.3">
      <c r="A143" s="19" t="s">
        <v>196</v>
      </c>
      <c r="B143" s="47" t="s">
        <v>196</v>
      </c>
      <c r="C143" s="48">
        <v>5121120</v>
      </c>
      <c r="D143" s="20">
        <f>SUM(E143:P143)</f>
        <v>0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pans="1:16" outlineLevel="1" x14ac:dyDescent="0.3">
      <c r="A144" s="19" t="s">
        <v>197</v>
      </c>
      <c r="B144" s="47" t="s">
        <v>197</v>
      </c>
      <c r="C144" s="48">
        <v>5121140</v>
      </c>
      <c r="D144" s="20">
        <f>SUM(E144:P144)</f>
        <v>0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pans="1:16" outlineLevel="1" x14ac:dyDescent="0.3">
      <c r="A145" s="19" t="s">
        <v>198</v>
      </c>
      <c r="B145" s="47" t="s">
        <v>199</v>
      </c>
      <c r="C145" s="48">
        <v>5121150</v>
      </c>
      <c r="D145" s="20">
        <f>SUM(E145:P145)</f>
        <v>79350000</v>
      </c>
      <c r="E145" s="20">
        <v>3150000</v>
      </c>
      <c r="F145" s="20">
        <v>850000</v>
      </c>
      <c r="G145" s="20">
        <v>7550000</v>
      </c>
      <c r="H145" s="20">
        <v>450000</v>
      </c>
      <c r="I145" s="20">
        <v>10450000</v>
      </c>
      <c r="J145" s="20">
        <v>11850000</v>
      </c>
      <c r="K145" s="20">
        <v>3650000</v>
      </c>
      <c r="L145" s="20">
        <v>450000</v>
      </c>
      <c r="M145" s="20">
        <v>13250000</v>
      </c>
      <c r="N145" s="20">
        <v>15800000</v>
      </c>
      <c r="O145" s="20">
        <v>450000</v>
      </c>
      <c r="P145" s="20">
        <v>11450000</v>
      </c>
    </row>
    <row r="146" spans="1:16" x14ac:dyDescent="0.3">
      <c r="A146" s="15" t="s">
        <v>200</v>
      </c>
      <c r="B146" s="49" t="s">
        <v>3</v>
      </c>
      <c r="C146" s="50"/>
      <c r="D146" s="18">
        <f t="shared" ref="D146:P146" si="31">SUM(D147:D150)</f>
        <v>0</v>
      </c>
      <c r="E146" s="18">
        <f t="shared" si="31"/>
        <v>0</v>
      </c>
      <c r="F146" s="18">
        <f t="shared" si="31"/>
        <v>0</v>
      </c>
      <c r="G146" s="18">
        <f t="shared" si="31"/>
        <v>0</v>
      </c>
      <c r="H146" s="18">
        <f t="shared" si="31"/>
        <v>0</v>
      </c>
      <c r="I146" s="18">
        <f t="shared" si="31"/>
        <v>0</v>
      </c>
      <c r="J146" s="18">
        <f t="shared" si="31"/>
        <v>0</v>
      </c>
      <c r="K146" s="18">
        <f t="shared" si="31"/>
        <v>0</v>
      </c>
      <c r="L146" s="18">
        <f t="shared" si="31"/>
        <v>0</v>
      </c>
      <c r="M146" s="18">
        <f t="shared" si="31"/>
        <v>0</v>
      </c>
      <c r="N146" s="18">
        <f t="shared" si="31"/>
        <v>0</v>
      </c>
      <c r="O146" s="18">
        <f t="shared" si="31"/>
        <v>0</v>
      </c>
      <c r="P146" s="18">
        <f t="shared" si="31"/>
        <v>0</v>
      </c>
    </row>
    <row r="147" spans="1:16" outlineLevel="1" x14ac:dyDescent="0.3">
      <c r="A147" s="19" t="s">
        <v>201</v>
      </c>
      <c r="B147" s="47" t="s">
        <v>202</v>
      </c>
      <c r="C147" s="48">
        <v>5122110</v>
      </c>
      <c r="D147" s="20">
        <f>SUM(E147:P147)</f>
        <v>0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pans="1:16" outlineLevel="1" x14ac:dyDescent="0.3">
      <c r="A148" s="19" t="s">
        <v>203</v>
      </c>
      <c r="B148" s="47" t="s">
        <v>204</v>
      </c>
      <c r="C148" s="48">
        <v>5122120</v>
      </c>
      <c r="D148" s="20">
        <f>SUM(E148:P148)</f>
        <v>0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spans="1:16" outlineLevel="1" x14ac:dyDescent="0.3">
      <c r="A149" s="22" t="s">
        <v>205</v>
      </c>
      <c r="B149" s="47" t="s">
        <v>206</v>
      </c>
      <c r="C149" s="48">
        <v>5122130</v>
      </c>
      <c r="D149" s="20">
        <f>SUM(E149:P149)</f>
        <v>0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spans="1:16" outlineLevel="1" x14ac:dyDescent="0.3">
      <c r="A150" s="19" t="s">
        <v>207</v>
      </c>
      <c r="B150" s="47" t="s">
        <v>208</v>
      </c>
      <c r="C150" s="48">
        <v>5122140</v>
      </c>
      <c r="D150" s="20">
        <f>SUM(E150:P150)</f>
        <v>0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</row>
    <row r="151" spans="1:16" x14ac:dyDescent="0.3">
      <c r="A151" s="15" t="s">
        <v>209</v>
      </c>
      <c r="B151" s="49" t="s">
        <v>3</v>
      </c>
      <c r="C151" s="50"/>
      <c r="D151" s="18">
        <f t="shared" ref="D151:P151" si="32">SUM(D152:D154)</f>
        <v>0</v>
      </c>
      <c r="E151" s="18">
        <f t="shared" si="32"/>
        <v>0</v>
      </c>
      <c r="F151" s="18">
        <f t="shared" si="32"/>
        <v>0</v>
      </c>
      <c r="G151" s="18">
        <f t="shared" si="32"/>
        <v>0</v>
      </c>
      <c r="H151" s="18">
        <f t="shared" si="32"/>
        <v>0</v>
      </c>
      <c r="I151" s="18">
        <f t="shared" si="32"/>
        <v>0</v>
      </c>
      <c r="J151" s="18">
        <f t="shared" si="32"/>
        <v>0</v>
      </c>
      <c r="K151" s="18">
        <f t="shared" si="32"/>
        <v>0</v>
      </c>
      <c r="L151" s="18">
        <f t="shared" si="32"/>
        <v>0</v>
      </c>
      <c r="M151" s="18">
        <f t="shared" si="32"/>
        <v>0</v>
      </c>
      <c r="N151" s="18">
        <f t="shared" si="32"/>
        <v>0</v>
      </c>
      <c r="O151" s="18">
        <f t="shared" si="32"/>
        <v>0</v>
      </c>
      <c r="P151" s="18">
        <f t="shared" si="32"/>
        <v>0</v>
      </c>
    </row>
    <row r="152" spans="1:16" outlineLevel="1" x14ac:dyDescent="0.3">
      <c r="A152" s="19" t="s">
        <v>210</v>
      </c>
      <c r="B152" s="47" t="s">
        <v>211</v>
      </c>
      <c r="C152" s="48">
        <v>5123110</v>
      </c>
      <c r="D152" s="20">
        <f>SUM(E152:P152)</f>
        <v>0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pans="1:16" outlineLevel="1" x14ac:dyDescent="0.3">
      <c r="A153" s="19" t="s">
        <v>212</v>
      </c>
      <c r="B153" s="47" t="s">
        <v>213</v>
      </c>
      <c r="C153" s="48">
        <v>5123120</v>
      </c>
      <c r="D153" s="20">
        <f>SUM(E153:P153)</f>
        <v>0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spans="1:16" outlineLevel="1" x14ac:dyDescent="0.3">
      <c r="A154" s="34" t="s">
        <v>214</v>
      </c>
      <c r="B154" s="52" t="s">
        <v>215</v>
      </c>
      <c r="C154" s="53">
        <v>5123130</v>
      </c>
      <c r="D154" s="37">
        <f>SUM(E154:P154)</f>
        <v>0</v>
      </c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AA56-7C70-4414-87D7-F8535CF127B2}">
  <sheetPr>
    <tabColor theme="4" tint="0.79998168889431442"/>
  </sheetPr>
  <dimension ref="A1:P154"/>
  <sheetViews>
    <sheetView zoomScale="85" zoomScaleNormal="85" workbookViewId="0">
      <pane xSplit="3" ySplit="3" topLeftCell="D4" activePane="bottomRight" state="frozen"/>
      <selection activeCell="A40" sqref="A40"/>
      <selection pane="topRight" activeCell="A40" sqref="A40"/>
      <selection pane="bottomLeft" activeCell="A40" sqref="A40"/>
      <selection pane="bottomRight" activeCell="B20" sqref="B20"/>
    </sheetView>
  </sheetViews>
  <sheetFormatPr defaultColWidth="9" defaultRowHeight="16.5" outlineLevelRow="1" outlineLevelCol="1" x14ac:dyDescent="0.3"/>
  <cols>
    <col min="1" max="1" width="41" style="66" customWidth="1"/>
    <col min="2" max="2" width="27.75" style="66" customWidth="1" outlineLevel="1"/>
    <col min="3" max="3" width="9.25" style="67" customWidth="1" outlineLevel="1"/>
    <col min="4" max="4" width="14.25" style="66" bestFit="1" customWidth="1"/>
    <col min="5" max="5" width="14.25" style="66" bestFit="1" customWidth="1" outlineLevel="1"/>
    <col min="6" max="6" width="14.25" style="66" customWidth="1" outlineLevel="1"/>
    <col min="7" max="7" width="14.25" style="66" bestFit="1" customWidth="1" outlineLevel="1"/>
    <col min="8" max="16" width="14.25" style="66" customWidth="1" outlineLevel="1"/>
    <col min="17" max="16384" width="9" style="66"/>
  </cols>
  <sheetData>
    <row r="1" spans="1:16" x14ac:dyDescent="0.3">
      <c r="A1" s="3" t="s">
        <v>228</v>
      </c>
      <c r="E1" s="68"/>
    </row>
    <row r="2" spans="1:16" x14ac:dyDescent="0.3">
      <c r="A2" s="3" t="s">
        <v>229</v>
      </c>
    </row>
    <row r="3" spans="1:16" x14ac:dyDescent="0.3">
      <c r="A3" s="4" t="s">
        <v>230</v>
      </c>
      <c r="B3" s="4" t="s">
        <v>1</v>
      </c>
      <c r="C3" s="5" t="s">
        <v>2</v>
      </c>
      <c r="D3" s="6">
        <v>2026</v>
      </c>
      <c r="E3" s="6">
        <v>2026.01</v>
      </c>
      <c r="F3" s="6">
        <v>2026.02</v>
      </c>
      <c r="G3" s="6">
        <v>2026.03</v>
      </c>
      <c r="H3" s="6">
        <v>2026.04</v>
      </c>
      <c r="I3" s="6">
        <v>2026.05</v>
      </c>
      <c r="J3" s="6">
        <v>2026.06</v>
      </c>
      <c r="K3" s="6">
        <v>2026.07</v>
      </c>
      <c r="L3" s="6">
        <v>2026.08</v>
      </c>
      <c r="M3" s="6">
        <v>2026.09</v>
      </c>
      <c r="N3" s="44">
        <v>2026.1</v>
      </c>
      <c r="O3" s="6">
        <v>2026.11</v>
      </c>
      <c r="P3" s="6">
        <v>2026.12</v>
      </c>
    </row>
    <row r="4" spans="1:16" x14ac:dyDescent="0.3">
      <c r="A4" s="7" t="s">
        <v>4</v>
      </c>
      <c r="B4" s="69" t="s">
        <v>3</v>
      </c>
      <c r="C4" s="70"/>
      <c r="D4" s="71">
        <f t="shared" ref="D4:P4" si="0">D5+D24+D30+D38+D46+D57+D66+D78+D85+D93+D96+D106+D108+D116+D118+D124+D127+D136+D141+D146+D151</f>
        <v>1590131676</v>
      </c>
      <c r="E4" s="71">
        <f t="shared" si="0"/>
        <v>125727639</v>
      </c>
      <c r="F4" s="71">
        <f t="shared" si="0"/>
        <v>135727639</v>
      </c>
      <c r="G4" s="71">
        <f t="shared" si="0"/>
        <v>136077641</v>
      </c>
      <c r="H4" s="71">
        <f t="shared" si="0"/>
        <v>125727639</v>
      </c>
      <c r="I4" s="71">
        <f t="shared" si="0"/>
        <v>135727639</v>
      </c>
      <c r="J4" s="71">
        <f t="shared" si="0"/>
        <v>136077641</v>
      </c>
      <c r="K4" s="71">
        <f t="shared" si="0"/>
        <v>125727639</v>
      </c>
      <c r="L4" s="71">
        <f t="shared" si="0"/>
        <v>135727639</v>
      </c>
      <c r="M4" s="71">
        <f t="shared" si="0"/>
        <v>136077641</v>
      </c>
      <c r="N4" s="71">
        <f t="shared" si="0"/>
        <v>125727639</v>
      </c>
      <c r="O4" s="71">
        <f t="shared" si="0"/>
        <v>135727639</v>
      </c>
      <c r="P4" s="71">
        <f t="shared" si="0"/>
        <v>136077641</v>
      </c>
    </row>
    <row r="5" spans="1:16" x14ac:dyDescent="0.3">
      <c r="A5" s="15" t="s">
        <v>5</v>
      </c>
      <c r="B5" s="75" t="s">
        <v>3</v>
      </c>
      <c r="C5" s="76"/>
      <c r="D5" s="77">
        <f t="shared" ref="D5:P5" si="1">SUM(D6:D23)</f>
        <v>151006916</v>
      </c>
      <c r="E5" s="77">
        <f t="shared" si="1"/>
        <v>12517243</v>
      </c>
      <c r="F5" s="77">
        <f t="shared" si="1"/>
        <v>12517243</v>
      </c>
      <c r="G5" s="77">
        <f t="shared" si="1"/>
        <v>12717243</v>
      </c>
      <c r="H5" s="77">
        <f t="shared" si="1"/>
        <v>12517243</v>
      </c>
      <c r="I5" s="77">
        <f t="shared" si="1"/>
        <v>12517243</v>
      </c>
      <c r="J5" s="77">
        <f t="shared" si="1"/>
        <v>12717243</v>
      </c>
      <c r="K5" s="77">
        <f t="shared" si="1"/>
        <v>12517243</v>
      </c>
      <c r="L5" s="77">
        <f t="shared" si="1"/>
        <v>12517243</v>
      </c>
      <c r="M5" s="77">
        <f t="shared" si="1"/>
        <v>12717243</v>
      </c>
      <c r="N5" s="77">
        <f t="shared" si="1"/>
        <v>12517243</v>
      </c>
      <c r="O5" s="77">
        <f t="shared" si="1"/>
        <v>12517243</v>
      </c>
      <c r="P5" s="77">
        <f t="shared" si="1"/>
        <v>12717243</v>
      </c>
    </row>
    <row r="6" spans="1:16" outlineLevel="1" x14ac:dyDescent="0.3">
      <c r="A6" s="19" t="s">
        <v>6</v>
      </c>
      <c r="B6" s="72" t="s">
        <v>7</v>
      </c>
      <c r="C6" s="73">
        <v>5103260</v>
      </c>
      <c r="D6" s="74">
        <f t="shared" ref="D6:D23" si="2">SUM(E6:P6)</f>
        <v>0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1:16" outlineLevel="1" x14ac:dyDescent="0.3">
      <c r="A7" s="19" t="s">
        <v>8</v>
      </c>
      <c r="B7" s="72" t="s">
        <v>9</v>
      </c>
      <c r="C7" s="73">
        <v>5103250</v>
      </c>
      <c r="D7" s="74">
        <f t="shared" si="2"/>
        <v>0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 spans="1:16" outlineLevel="1" x14ac:dyDescent="0.3">
      <c r="A8" s="19" t="s">
        <v>10</v>
      </c>
      <c r="B8" s="72" t="s">
        <v>11</v>
      </c>
      <c r="C8" s="73">
        <v>5103240</v>
      </c>
      <c r="D8" s="74">
        <f t="shared" si="2"/>
        <v>0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</row>
    <row r="9" spans="1:16" outlineLevel="1" x14ac:dyDescent="0.3">
      <c r="A9" s="19" t="s">
        <v>12</v>
      </c>
      <c r="B9" s="72" t="s">
        <v>13</v>
      </c>
      <c r="C9" s="73">
        <v>5103230</v>
      </c>
      <c r="D9" s="74">
        <f t="shared" si="2"/>
        <v>0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1:16" outlineLevel="1" x14ac:dyDescent="0.3">
      <c r="A10" s="19" t="s">
        <v>14</v>
      </c>
      <c r="B10" s="72" t="s">
        <v>15</v>
      </c>
      <c r="C10" s="73">
        <v>5103220</v>
      </c>
      <c r="D10" s="74">
        <f t="shared" si="2"/>
        <v>0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</row>
    <row r="11" spans="1:16" s="81" customFormat="1" outlineLevel="1" x14ac:dyDescent="0.3">
      <c r="A11" s="32" t="s">
        <v>16</v>
      </c>
      <c r="B11" s="78" t="s">
        <v>16</v>
      </c>
      <c r="C11" s="79">
        <v>5103210</v>
      </c>
      <c r="D11" s="80">
        <f t="shared" si="2"/>
        <v>800000</v>
      </c>
      <c r="E11" s="74">
        <v>0</v>
      </c>
      <c r="F11" s="74">
        <v>0</v>
      </c>
      <c r="G11" s="74">
        <v>200000</v>
      </c>
      <c r="H11" s="74">
        <v>0</v>
      </c>
      <c r="I11" s="74">
        <v>0</v>
      </c>
      <c r="J11" s="74">
        <v>200000</v>
      </c>
      <c r="K11" s="74">
        <v>0</v>
      </c>
      <c r="L11" s="74">
        <v>0</v>
      </c>
      <c r="M11" s="74">
        <v>200000</v>
      </c>
      <c r="N11" s="74">
        <v>0</v>
      </c>
      <c r="O11" s="74">
        <v>0</v>
      </c>
      <c r="P11" s="74">
        <v>200000</v>
      </c>
    </row>
    <row r="12" spans="1:16" s="81" customFormat="1" outlineLevel="1" x14ac:dyDescent="0.3">
      <c r="A12" s="32" t="s">
        <v>17</v>
      </c>
      <c r="B12" s="78" t="s">
        <v>18</v>
      </c>
      <c r="C12" s="79">
        <v>5103190</v>
      </c>
      <c r="D12" s="80">
        <f t="shared" si="2"/>
        <v>1594548</v>
      </c>
      <c r="E12" s="74">
        <v>132879</v>
      </c>
      <c r="F12" s="74">
        <v>132879</v>
      </c>
      <c r="G12" s="74">
        <v>132879</v>
      </c>
      <c r="H12" s="74">
        <v>132879</v>
      </c>
      <c r="I12" s="74">
        <v>132879</v>
      </c>
      <c r="J12" s="74">
        <v>132879</v>
      </c>
      <c r="K12" s="74">
        <v>132879</v>
      </c>
      <c r="L12" s="74">
        <v>132879</v>
      </c>
      <c r="M12" s="74">
        <v>132879</v>
      </c>
      <c r="N12" s="74">
        <f t="shared" ref="N12:P12" si="3">M12</f>
        <v>132879</v>
      </c>
      <c r="O12" s="74">
        <f t="shared" si="3"/>
        <v>132879</v>
      </c>
      <c r="P12" s="74">
        <f t="shared" si="3"/>
        <v>132879</v>
      </c>
    </row>
    <row r="13" spans="1:16" outlineLevel="1" x14ac:dyDescent="0.3">
      <c r="A13" s="19" t="s">
        <v>19</v>
      </c>
      <c r="B13" s="72" t="s">
        <v>20</v>
      </c>
      <c r="C13" s="73">
        <v>5103180</v>
      </c>
      <c r="D13" s="74">
        <f t="shared" si="2"/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1:16" outlineLevel="1" x14ac:dyDescent="0.3">
      <c r="A14" s="19" t="s">
        <v>21</v>
      </c>
      <c r="B14" s="72" t="s">
        <v>22</v>
      </c>
      <c r="C14" s="73">
        <v>5103170</v>
      </c>
      <c r="D14" s="74">
        <f t="shared" si="2"/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  <row r="15" spans="1:16" outlineLevel="1" x14ac:dyDescent="0.3">
      <c r="A15" s="19" t="s">
        <v>23</v>
      </c>
      <c r="B15" s="72" t="s">
        <v>24</v>
      </c>
      <c r="C15" s="73">
        <v>5103160</v>
      </c>
      <c r="D15" s="74">
        <f t="shared" si="2"/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</row>
    <row r="16" spans="1:16" outlineLevel="1" x14ac:dyDescent="0.3">
      <c r="A16" s="19" t="s">
        <v>25</v>
      </c>
      <c r="B16" s="72" t="s">
        <v>26</v>
      </c>
      <c r="C16" s="73">
        <v>5103150</v>
      </c>
      <c r="D16" s="74">
        <f t="shared" si="2"/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</row>
    <row r="17" spans="1:16" outlineLevel="1" x14ac:dyDescent="0.3">
      <c r="A17" s="19" t="s">
        <v>27</v>
      </c>
      <c r="B17" s="72" t="s">
        <v>28</v>
      </c>
      <c r="C17" s="73">
        <v>5103140</v>
      </c>
      <c r="D17" s="74">
        <f t="shared" si="2"/>
        <v>0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</row>
    <row r="18" spans="1:16" outlineLevel="1" x14ac:dyDescent="0.3">
      <c r="A18" s="19" t="s">
        <v>29</v>
      </c>
      <c r="B18" s="72" t="s">
        <v>3</v>
      </c>
      <c r="C18" s="73">
        <v>5103130</v>
      </c>
      <c r="D18" s="74">
        <f t="shared" si="2"/>
        <v>0</v>
      </c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</row>
    <row r="19" spans="1:16" outlineLevel="1" x14ac:dyDescent="0.3">
      <c r="A19" s="19" t="s">
        <v>30</v>
      </c>
      <c r="B19" s="72" t="s">
        <v>31</v>
      </c>
      <c r="C19" s="73">
        <v>5103120</v>
      </c>
      <c r="D19" s="74">
        <f t="shared" si="2"/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</row>
    <row r="20" spans="1:16" outlineLevel="1" x14ac:dyDescent="0.3">
      <c r="A20" s="19" t="s">
        <v>32</v>
      </c>
      <c r="B20" s="72" t="s">
        <v>33</v>
      </c>
      <c r="C20" s="73">
        <v>5103110</v>
      </c>
      <c r="D20" s="74">
        <f t="shared" si="2"/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</row>
    <row r="21" spans="1:16" outlineLevel="1" x14ac:dyDescent="0.3">
      <c r="A21" s="19" t="s">
        <v>34</v>
      </c>
      <c r="B21" s="72" t="s">
        <v>18</v>
      </c>
      <c r="C21" s="73">
        <v>5103270</v>
      </c>
      <c r="D21" s="74">
        <f t="shared" si="2"/>
        <v>140436072</v>
      </c>
      <c r="E21" s="74">
        <v>11703006</v>
      </c>
      <c r="F21" s="74">
        <f>E21</f>
        <v>11703006</v>
      </c>
      <c r="G21" s="74">
        <f t="shared" ref="G21:P22" si="4">F21</f>
        <v>11703006</v>
      </c>
      <c r="H21" s="74">
        <f t="shared" si="4"/>
        <v>11703006</v>
      </c>
      <c r="I21" s="74">
        <f t="shared" si="4"/>
        <v>11703006</v>
      </c>
      <c r="J21" s="74">
        <f t="shared" si="4"/>
        <v>11703006</v>
      </c>
      <c r="K21" s="74">
        <f t="shared" si="4"/>
        <v>11703006</v>
      </c>
      <c r="L21" s="74">
        <f t="shared" si="4"/>
        <v>11703006</v>
      </c>
      <c r="M21" s="74">
        <f t="shared" si="4"/>
        <v>11703006</v>
      </c>
      <c r="N21" s="74">
        <f t="shared" si="4"/>
        <v>11703006</v>
      </c>
      <c r="O21" s="74">
        <f t="shared" si="4"/>
        <v>11703006</v>
      </c>
      <c r="P21" s="74">
        <f t="shared" si="4"/>
        <v>11703006</v>
      </c>
    </row>
    <row r="22" spans="1:16" outlineLevel="1" x14ac:dyDescent="0.3">
      <c r="A22" s="19" t="s">
        <v>35</v>
      </c>
      <c r="B22" s="72" t="s">
        <v>35</v>
      </c>
      <c r="C22" s="73">
        <v>5103111</v>
      </c>
      <c r="D22" s="74">
        <f t="shared" si="2"/>
        <v>616296</v>
      </c>
      <c r="E22" s="74">
        <v>51358</v>
      </c>
      <c r="F22" s="74">
        <f>E22</f>
        <v>51358</v>
      </c>
      <c r="G22" s="74">
        <f t="shared" si="4"/>
        <v>51358</v>
      </c>
      <c r="H22" s="74">
        <f t="shared" si="4"/>
        <v>51358</v>
      </c>
      <c r="I22" s="74">
        <f t="shared" si="4"/>
        <v>51358</v>
      </c>
      <c r="J22" s="74">
        <f t="shared" si="4"/>
        <v>51358</v>
      </c>
      <c r="K22" s="74">
        <f t="shared" si="4"/>
        <v>51358</v>
      </c>
      <c r="L22" s="74">
        <f t="shared" si="4"/>
        <v>51358</v>
      </c>
      <c r="M22" s="74">
        <f t="shared" si="4"/>
        <v>51358</v>
      </c>
      <c r="N22" s="74">
        <f t="shared" si="4"/>
        <v>51358</v>
      </c>
      <c r="O22" s="74">
        <f t="shared" si="4"/>
        <v>51358</v>
      </c>
      <c r="P22" s="74">
        <f t="shared" si="4"/>
        <v>51358</v>
      </c>
    </row>
    <row r="23" spans="1:16" outlineLevel="1" x14ac:dyDescent="0.3">
      <c r="A23" s="19" t="s">
        <v>36</v>
      </c>
      <c r="B23" s="72" t="s">
        <v>36</v>
      </c>
      <c r="C23" s="73">
        <v>5103131</v>
      </c>
      <c r="D23" s="74">
        <f t="shared" si="2"/>
        <v>7560000</v>
      </c>
      <c r="E23" s="74">
        <f>30000*21</f>
        <v>630000</v>
      </c>
      <c r="F23" s="74">
        <f t="shared" ref="F23:P23" si="5">30000*21</f>
        <v>630000</v>
      </c>
      <c r="G23" s="74">
        <f t="shared" si="5"/>
        <v>630000</v>
      </c>
      <c r="H23" s="74">
        <f t="shared" si="5"/>
        <v>630000</v>
      </c>
      <c r="I23" s="74">
        <f t="shared" si="5"/>
        <v>630000</v>
      </c>
      <c r="J23" s="74">
        <f t="shared" si="5"/>
        <v>630000</v>
      </c>
      <c r="K23" s="74">
        <f t="shared" si="5"/>
        <v>630000</v>
      </c>
      <c r="L23" s="74">
        <f t="shared" si="5"/>
        <v>630000</v>
      </c>
      <c r="M23" s="74">
        <f t="shared" si="5"/>
        <v>630000</v>
      </c>
      <c r="N23" s="74">
        <f t="shared" si="5"/>
        <v>630000</v>
      </c>
      <c r="O23" s="74">
        <f t="shared" si="5"/>
        <v>630000</v>
      </c>
      <c r="P23" s="74">
        <f t="shared" si="5"/>
        <v>630000</v>
      </c>
    </row>
    <row r="24" spans="1:16" x14ac:dyDescent="0.3">
      <c r="A24" s="15" t="s">
        <v>37</v>
      </c>
      <c r="B24" s="75" t="s">
        <v>3</v>
      </c>
      <c r="C24" s="76"/>
      <c r="D24" s="77">
        <f t="shared" ref="D24:P24" si="6">SUM(D25:D29)</f>
        <v>2400008</v>
      </c>
      <c r="E24" s="77">
        <f t="shared" si="6"/>
        <v>200000</v>
      </c>
      <c r="F24" s="77">
        <f t="shared" si="6"/>
        <v>200000</v>
      </c>
      <c r="G24" s="77">
        <f t="shared" si="6"/>
        <v>200002</v>
      </c>
      <c r="H24" s="77">
        <f t="shared" si="6"/>
        <v>200000</v>
      </c>
      <c r="I24" s="77">
        <f t="shared" si="6"/>
        <v>200000</v>
      </c>
      <c r="J24" s="77">
        <f t="shared" si="6"/>
        <v>200002</v>
      </c>
      <c r="K24" s="77">
        <f t="shared" si="6"/>
        <v>200000</v>
      </c>
      <c r="L24" s="77">
        <f t="shared" si="6"/>
        <v>200000</v>
      </c>
      <c r="M24" s="77">
        <f t="shared" si="6"/>
        <v>200002</v>
      </c>
      <c r="N24" s="77">
        <f t="shared" si="6"/>
        <v>200000</v>
      </c>
      <c r="O24" s="77">
        <f t="shared" si="6"/>
        <v>200000</v>
      </c>
      <c r="P24" s="77">
        <f t="shared" si="6"/>
        <v>200002</v>
      </c>
    </row>
    <row r="25" spans="1:16" outlineLevel="1" x14ac:dyDescent="0.3">
      <c r="A25" s="19" t="s">
        <v>38</v>
      </c>
      <c r="B25" s="72" t="s">
        <v>39</v>
      </c>
      <c r="C25" s="73">
        <v>5104110</v>
      </c>
      <c r="D25" s="74">
        <f>SUM(E25:P25)</f>
        <v>4</v>
      </c>
      <c r="E25" s="74"/>
      <c r="F25" s="74"/>
      <c r="G25" s="74">
        <v>1</v>
      </c>
      <c r="H25" s="74"/>
      <c r="I25" s="74"/>
      <c r="J25" s="74">
        <v>1</v>
      </c>
      <c r="K25" s="74"/>
      <c r="L25" s="74"/>
      <c r="M25" s="74">
        <v>1</v>
      </c>
      <c r="N25" s="74"/>
      <c r="O25" s="74"/>
      <c r="P25" s="74">
        <v>1</v>
      </c>
    </row>
    <row r="26" spans="1:16" s="81" customFormat="1" outlineLevel="1" x14ac:dyDescent="0.3">
      <c r="A26" s="32" t="s">
        <v>40</v>
      </c>
      <c r="B26" s="78" t="s">
        <v>41</v>
      </c>
      <c r="C26" s="79">
        <v>5104120</v>
      </c>
      <c r="D26" s="80">
        <f>SUM(E26:P26)</f>
        <v>1800000</v>
      </c>
      <c r="E26" s="80">
        <v>150000</v>
      </c>
      <c r="F26" s="80">
        <v>150000</v>
      </c>
      <c r="G26" s="80">
        <v>150000</v>
      </c>
      <c r="H26" s="80">
        <v>150000</v>
      </c>
      <c r="I26" s="80">
        <v>150000</v>
      </c>
      <c r="J26" s="80">
        <v>150000</v>
      </c>
      <c r="K26" s="80">
        <v>150000</v>
      </c>
      <c r="L26" s="80">
        <v>150000</v>
      </c>
      <c r="M26" s="80">
        <v>150000</v>
      </c>
      <c r="N26" s="80">
        <v>150000</v>
      </c>
      <c r="O26" s="80">
        <v>150000</v>
      </c>
      <c r="P26" s="80">
        <v>150000</v>
      </c>
    </row>
    <row r="27" spans="1:16" s="81" customFormat="1" outlineLevel="1" x14ac:dyDescent="0.3">
      <c r="A27" s="32" t="s">
        <v>42</v>
      </c>
      <c r="B27" s="78" t="s">
        <v>43</v>
      </c>
      <c r="C27" s="79">
        <v>5104130</v>
      </c>
      <c r="D27" s="80">
        <f>SUM(E27:P27)</f>
        <v>600000</v>
      </c>
      <c r="E27" s="80">
        <v>50000</v>
      </c>
      <c r="F27" s="80">
        <v>50000</v>
      </c>
      <c r="G27" s="80">
        <v>50000</v>
      </c>
      <c r="H27" s="80">
        <v>50000</v>
      </c>
      <c r="I27" s="80">
        <v>50000</v>
      </c>
      <c r="J27" s="80">
        <v>50000</v>
      </c>
      <c r="K27" s="80">
        <v>50000</v>
      </c>
      <c r="L27" s="80">
        <v>50000</v>
      </c>
      <c r="M27" s="80">
        <v>50000</v>
      </c>
      <c r="N27" s="80">
        <v>50000</v>
      </c>
      <c r="O27" s="80">
        <v>50000</v>
      </c>
      <c r="P27" s="80">
        <v>50000</v>
      </c>
    </row>
    <row r="28" spans="1:16" outlineLevel="1" x14ac:dyDescent="0.3">
      <c r="A28" s="19" t="s">
        <v>44</v>
      </c>
      <c r="B28" s="72" t="s">
        <v>45</v>
      </c>
      <c r="C28" s="73">
        <v>5104140</v>
      </c>
      <c r="D28" s="74">
        <f>SUM(E28:P28)</f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spans="1:16" outlineLevel="1" x14ac:dyDescent="0.3">
      <c r="A29" s="19" t="s">
        <v>46</v>
      </c>
      <c r="B29" s="72" t="s">
        <v>46</v>
      </c>
      <c r="C29" s="73">
        <v>5104150</v>
      </c>
      <c r="D29" s="74">
        <f>SUM(E29:P29)</f>
        <v>4</v>
      </c>
      <c r="E29" s="74"/>
      <c r="F29" s="74"/>
      <c r="G29" s="74">
        <v>1</v>
      </c>
      <c r="H29" s="74"/>
      <c r="I29" s="74"/>
      <c r="J29" s="74">
        <v>1</v>
      </c>
      <c r="K29" s="74"/>
      <c r="L29" s="74"/>
      <c r="M29" s="74">
        <v>1</v>
      </c>
      <c r="N29" s="74"/>
      <c r="O29" s="74"/>
      <c r="P29" s="74">
        <v>1</v>
      </c>
    </row>
    <row r="30" spans="1:16" x14ac:dyDescent="0.3">
      <c r="A30" s="15" t="s">
        <v>47</v>
      </c>
      <c r="B30" s="75" t="s">
        <v>3</v>
      </c>
      <c r="C30" s="76"/>
      <c r="D30" s="77">
        <f t="shared" ref="D30:P30" si="7">SUM(D31:D37)</f>
        <v>0</v>
      </c>
      <c r="E30" s="77">
        <f t="shared" si="7"/>
        <v>0</v>
      </c>
      <c r="F30" s="77">
        <f t="shared" si="7"/>
        <v>0</v>
      </c>
      <c r="G30" s="77">
        <f t="shared" si="7"/>
        <v>0</v>
      </c>
      <c r="H30" s="77">
        <f t="shared" si="7"/>
        <v>0</v>
      </c>
      <c r="I30" s="77">
        <f t="shared" si="7"/>
        <v>0</v>
      </c>
      <c r="J30" s="77">
        <f t="shared" si="7"/>
        <v>0</v>
      </c>
      <c r="K30" s="77">
        <f t="shared" si="7"/>
        <v>0</v>
      </c>
      <c r="L30" s="77">
        <f t="shared" si="7"/>
        <v>0</v>
      </c>
      <c r="M30" s="77">
        <f t="shared" si="7"/>
        <v>0</v>
      </c>
      <c r="N30" s="77">
        <f t="shared" si="7"/>
        <v>0</v>
      </c>
      <c r="O30" s="77">
        <f t="shared" si="7"/>
        <v>0</v>
      </c>
      <c r="P30" s="77">
        <f t="shared" si="7"/>
        <v>0</v>
      </c>
    </row>
    <row r="31" spans="1:16" outlineLevel="1" x14ac:dyDescent="0.3">
      <c r="A31" s="19" t="s">
        <v>48</v>
      </c>
      <c r="B31" s="72" t="s">
        <v>49</v>
      </c>
      <c r="C31" s="73">
        <v>5105160</v>
      </c>
      <c r="D31" s="74">
        <f t="shared" ref="D31:D37" si="8">SUM(E31:P31)</f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1:16" outlineLevel="1" x14ac:dyDescent="0.3">
      <c r="A32" s="19" t="s">
        <v>50</v>
      </c>
      <c r="B32" s="72" t="s">
        <v>49</v>
      </c>
      <c r="C32" s="73">
        <v>5105150</v>
      </c>
      <c r="D32" s="74">
        <f t="shared" si="8"/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</row>
    <row r="33" spans="1:16" outlineLevel="1" x14ac:dyDescent="0.3">
      <c r="A33" s="19" t="s">
        <v>51</v>
      </c>
      <c r="B33" s="72" t="s">
        <v>52</v>
      </c>
      <c r="C33" s="73">
        <v>5105140</v>
      </c>
      <c r="D33" s="74">
        <f t="shared" si="8"/>
        <v>0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</row>
    <row r="34" spans="1:16" outlineLevel="1" x14ac:dyDescent="0.3">
      <c r="A34" s="19" t="s">
        <v>53</v>
      </c>
      <c r="B34" s="72" t="s">
        <v>49</v>
      </c>
      <c r="C34" s="73">
        <v>5105130</v>
      </c>
      <c r="D34" s="74">
        <f t="shared" si="8"/>
        <v>0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</row>
    <row r="35" spans="1:16" outlineLevel="1" x14ac:dyDescent="0.3">
      <c r="A35" s="19" t="s">
        <v>54</v>
      </c>
      <c r="B35" s="72" t="s">
        <v>49</v>
      </c>
      <c r="C35" s="73">
        <v>5105120</v>
      </c>
      <c r="D35" s="74">
        <f t="shared" si="8"/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</row>
    <row r="36" spans="1:16" outlineLevel="1" x14ac:dyDescent="0.3">
      <c r="A36" s="19" t="s">
        <v>55</v>
      </c>
      <c r="B36" s="72" t="s">
        <v>49</v>
      </c>
      <c r="C36" s="73">
        <v>5105110</v>
      </c>
      <c r="D36" s="74">
        <f t="shared" si="8"/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</row>
    <row r="37" spans="1:16" outlineLevel="1" x14ac:dyDescent="0.3">
      <c r="A37" s="19" t="s">
        <v>56</v>
      </c>
      <c r="B37" s="72" t="s">
        <v>49</v>
      </c>
      <c r="C37" s="73">
        <v>5105111</v>
      </c>
      <c r="D37" s="74">
        <f t="shared" si="8"/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</row>
    <row r="38" spans="1:16" x14ac:dyDescent="0.3">
      <c r="A38" s="15" t="s">
        <v>57</v>
      </c>
      <c r="B38" s="75" t="s">
        <v>3</v>
      </c>
      <c r="C38" s="76"/>
      <c r="D38" s="77">
        <f t="shared" ref="D38:P38" si="9">SUM(D39:D45)</f>
        <v>0</v>
      </c>
      <c r="E38" s="77">
        <f t="shared" si="9"/>
        <v>0</v>
      </c>
      <c r="F38" s="77">
        <f t="shared" si="9"/>
        <v>0</v>
      </c>
      <c r="G38" s="77">
        <f t="shared" si="9"/>
        <v>0</v>
      </c>
      <c r="H38" s="77">
        <f t="shared" si="9"/>
        <v>0</v>
      </c>
      <c r="I38" s="77">
        <f t="shared" si="9"/>
        <v>0</v>
      </c>
      <c r="J38" s="77">
        <f t="shared" si="9"/>
        <v>0</v>
      </c>
      <c r="K38" s="77">
        <f t="shared" si="9"/>
        <v>0</v>
      </c>
      <c r="L38" s="77">
        <f t="shared" si="9"/>
        <v>0</v>
      </c>
      <c r="M38" s="77">
        <f t="shared" si="9"/>
        <v>0</v>
      </c>
      <c r="N38" s="77">
        <f t="shared" si="9"/>
        <v>0</v>
      </c>
      <c r="O38" s="77">
        <f t="shared" si="9"/>
        <v>0</v>
      </c>
      <c r="P38" s="77">
        <f t="shared" si="9"/>
        <v>0</v>
      </c>
    </row>
    <row r="39" spans="1:16" outlineLevel="1" x14ac:dyDescent="0.3">
      <c r="A39" s="19" t="s">
        <v>58</v>
      </c>
      <c r="B39" s="72" t="s">
        <v>59</v>
      </c>
      <c r="C39" s="73">
        <v>5106110</v>
      </c>
      <c r="D39" s="74">
        <f t="shared" ref="D39:D45" si="10">SUM(E39:P39)</f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</row>
    <row r="40" spans="1:16" outlineLevel="1" x14ac:dyDescent="0.3">
      <c r="A40" s="19" t="s">
        <v>60</v>
      </c>
      <c r="B40" s="72" t="s">
        <v>59</v>
      </c>
      <c r="C40" s="73">
        <v>5106120</v>
      </c>
      <c r="D40" s="74">
        <f t="shared" si="10"/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spans="1:16" outlineLevel="1" x14ac:dyDescent="0.3">
      <c r="A41" s="19" t="s">
        <v>61</v>
      </c>
      <c r="B41" s="72" t="s">
        <v>59</v>
      </c>
      <c r="C41" s="73">
        <v>5106130</v>
      </c>
      <c r="D41" s="74">
        <f t="shared" si="10"/>
        <v>0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</row>
    <row r="42" spans="1:16" outlineLevel="1" x14ac:dyDescent="0.3">
      <c r="A42" s="19" t="s">
        <v>62</v>
      </c>
      <c r="B42" s="72" t="s">
        <v>3</v>
      </c>
      <c r="C42" s="73">
        <v>5106140</v>
      </c>
      <c r="D42" s="74">
        <f t="shared" si="10"/>
        <v>0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</row>
    <row r="43" spans="1:16" outlineLevel="1" x14ac:dyDescent="0.3">
      <c r="A43" s="19" t="s">
        <v>63</v>
      </c>
      <c r="B43" s="72" t="s">
        <v>59</v>
      </c>
      <c r="C43" s="73">
        <v>5106150</v>
      </c>
      <c r="D43" s="74">
        <f t="shared" si="10"/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</row>
    <row r="44" spans="1:16" outlineLevel="1" x14ac:dyDescent="0.3">
      <c r="A44" s="19" t="s">
        <v>64</v>
      </c>
      <c r="B44" s="72" t="s">
        <v>3</v>
      </c>
      <c r="C44" s="73">
        <v>5106160</v>
      </c>
      <c r="D44" s="74">
        <f t="shared" si="10"/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</row>
    <row r="45" spans="1:16" outlineLevel="1" x14ac:dyDescent="0.3">
      <c r="A45" s="19" t="s">
        <v>65</v>
      </c>
      <c r="B45" s="72" t="s">
        <v>59</v>
      </c>
      <c r="C45" s="73">
        <v>5106141</v>
      </c>
      <c r="D45" s="74">
        <f t="shared" si="10"/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</row>
    <row r="46" spans="1:16" x14ac:dyDescent="0.3">
      <c r="A46" s="15" t="s">
        <v>66</v>
      </c>
      <c r="B46" s="75" t="s">
        <v>3</v>
      </c>
      <c r="C46" s="76"/>
      <c r="D46" s="77">
        <f t="shared" ref="D46:P46" si="11">SUM(D47:D56)</f>
        <v>0</v>
      </c>
      <c r="E46" s="77">
        <f t="shared" si="11"/>
        <v>0</v>
      </c>
      <c r="F46" s="77">
        <f t="shared" si="11"/>
        <v>0</v>
      </c>
      <c r="G46" s="77">
        <f t="shared" si="11"/>
        <v>0</v>
      </c>
      <c r="H46" s="77">
        <f t="shared" si="11"/>
        <v>0</v>
      </c>
      <c r="I46" s="77">
        <f t="shared" si="11"/>
        <v>0</v>
      </c>
      <c r="J46" s="77">
        <f t="shared" si="11"/>
        <v>0</v>
      </c>
      <c r="K46" s="77">
        <f t="shared" si="11"/>
        <v>0</v>
      </c>
      <c r="L46" s="77">
        <f t="shared" si="11"/>
        <v>0</v>
      </c>
      <c r="M46" s="77">
        <f t="shared" si="11"/>
        <v>0</v>
      </c>
      <c r="N46" s="77">
        <f t="shared" si="11"/>
        <v>0</v>
      </c>
      <c r="O46" s="77">
        <f t="shared" si="11"/>
        <v>0</v>
      </c>
      <c r="P46" s="77">
        <f t="shared" si="11"/>
        <v>0</v>
      </c>
    </row>
    <row r="47" spans="1:16" outlineLevel="1" x14ac:dyDescent="0.3">
      <c r="A47" s="19" t="s">
        <v>67</v>
      </c>
      <c r="B47" s="72" t="s">
        <v>68</v>
      </c>
      <c r="C47" s="73">
        <v>5107110</v>
      </c>
      <c r="D47" s="74">
        <f t="shared" ref="D47:D56" si="12">SUM(E47:P47)</f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</row>
    <row r="48" spans="1:16" outlineLevel="1" x14ac:dyDescent="0.3">
      <c r="A48" s="19" t="s">
        <v>69</v>
      </c>
      <c r="B48" s="72" t="s">
        <v>68</v>
      </c>
      <c r="C48" s="73">
        <v>5107130</v>
      </c>
      <c r="D48" s="74">
        <f t="shared" si="12"/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</row>
    <row r="49" spans="1:16" outlineLevel="1" x14ac:dyDescent="0.3">
      <c r="A49" s="22" t="s">
        <v>70</v>
      </c>
      <c r="B49" s="72" t="s">
        <v>68</v>
      </c>
      <c r="C49" s="73">
        <v>5107120</v>
      </c>
      <c r="D49" s="74">
        <f t="shared" si="12"/>
        <v>0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</row>
    <row r="50" spans="1:16" outlineLevel="1" x14ac:dyDescent="0.3">
      <c r="A50" s="19" t="s">
        <v>71</v>
      </c>
      <c r="B50" s="72" t="s">
        <v>68</v>
      </c>
      <c r="C50" s="73">
        <v>5107140</v>
      </c>
      <c r="D50" s="74">
        <f t="shared" si="12"/>
        <v>0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</row>
    <row r="51" spans="1:16" outlineLevel="1" x14ac:dyDescent="0.3">
      <c r="A51" s="19" t="s">
        <v>72</v>
      </c>
      <c r="B51" s="72" t="s">
        <v>68</v>
      </c>
      <c r="C51" s="73">
        <v>5107150</v>
      </c>
      <c r="D51" s="74">
        <f t="shared" si="12"/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</row>
    <row r="52" spans="1:16" outlineLevel="1" x14ac:dyDescent="0.3">
      <c r="A52" s="19" t="s">
        <v>73</v>
      </c>
      <c r="B52" s="72" t="s">
        <v>68</v>
      </c>
      <c r="C52" s="73">
        <v>5107160</v>
      </c>
      <c r="D52" s="74">
        <f t="shared" si="12"/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</row>
    <row r="53" spans="1:16" outlineLevel="1" x14ac:dyDescent="0.3">
      <c r="A53" s="19" t="s">
        <v>74</v>
      </c>
      <c r="B53" s="72" t="s">
        <v>68</v>
      </c>
      <c r="C53" s="73">
        <v>5107170</v>
      </c>
      <c r="D53" s="74">
        <f t="shared" si="12"/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</row>
    <row r="54" spans="1:16" outlineLevel="1" x14ac:dyDescent="0.3">
      <c r="A54" s="19" t="s">
        <v>75</v>
      </c>
      <c r="B54" s="72" t="s">
        <v>68</v>
      </c>
      <c r="C54" s="73">
        <v>5107180</v>
      </c>
      <c r="D54" s="74">
        <f t="shared" si="12"/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</row>
    <row r="55" spans="1:16" outlineLevel="1" x14ac:dyDescent="0.3">
      <c r="A55" s="40" t="s">
        <v>76</v>
      </c>
      <c r="B55" s="72" t="s">
        <v>77</v>
      </c>
      <c r="C55" s="73">
        <v>5107190</v>
      </c>
      <c r="D55" s="74">
        <f t="shared" si="12"/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</row>
    <row r="56" spans="1:16" outlineLevel="1" x14ac:dyDescent="0.3">
      <c r="A56" s="19" t="s">
        <v>78</v>
      </c>
      <c r="B56" s="72" t="s">
        <v>79</v>
      </c>
      <c r="C56" s="73">
        <v>5107210</v>
      </c>
      <c r="D56" s="74">
        <f t="shared" si="12"/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</row>
    <row r="57" spans="1:16" x14ac:dyDescent="0.3">
      <c r="A57" s="15" t="s">
        <v>80</v>
      </c>
      <c r="B57" s="75" t="s">
        <v>3</v>
      </c>
      <c r="C57" s="76"/>
      <c r="D57" s="77">
        <f t="shared" ref="D57:P57" si="13">SUM(D58:D65)</f>
        <v>0</v>
      </c>
      <c r="E57" s="77">
        <f t="shared" si="13"/>
        <v>0</v>
      </c>
      <c r="F57" s="77">
        <f t="shared" si="13"/>
        <v>0</v>
      </c>
      <c r="G57" s="77">
        <f t="shared" si="13"/>
        <v>0</v>
      </c>
      <c r="H57" s="77">
        <f t="shared" si="13"/>
        <v>0</v>
      </c>
      <c r="I57" s="77">
        <f t="shared" si="13"/>
        <v>0</v>
      </c>
      <c r="J57" s="77">
        <f t="shared" si="13"/>
        <v>0</v>
      </c>
      <c r="K57" s="77">
        <f t="shared" si="13"/>
        <v>0</v>
      </c>
      <c r="L57" s="77">
        <f t="shared" si="13"/>
        <v>0</v>
      </c>
      <c r="M57" s="77">
        <f t="shared" si="13"/>
        <v>0</v>
      </c>
      <c r="N57" s="77">
        <f t="shared" si="13"/>
        <v>0</v>
      </c>
      <c r="O57" s="77">
        <f t="shared" si="13"/>
        <v>0</v>
      </c>
      <c r="P57" s="77">
        <f t="shared" si="13"/>
        <v>0</v>
      </c>
    </row>
    <row r="58" spans="1:16" outlineLevel="1" x14ac:dyDescent="0.3">
      <c r="A58" s="19" t="s">
        <v>81</v>
      </c>
      <c r="B58" s="72" t="s">
        <v>82</v>
      </c>
      <c r="C58" s="73">
        <v>5108110</v>
      </c>
      <c r="D58" s="74">
        <f t="shared" ref="D58:D65" si="14">SUM(E58:P58)</f>
        <v>0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</row>
    <row r="59" spans="1:16" outlineLevel="1" x14ac:dyDescent="0.3">
      <c r="A59" s="19" t="s">
        <v>83</v>
      </c>
      <c r="B59" s="72" t="s">
        <v>82</v>
      </c>
      <c r="C59" s="73">
        <v>5108120</v>
      </c>
      <c r="D59" s="74">
        <f t="shared" si="14"/>
        <v>0</v>
      </c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</row>
    <row r="60" spans="1:16" outlineLevel="1" x14ac:dyDescent="0.3">
      <c r="A60" s="19" t="s">
        <v>84</v>
      </c>
      <c r="B60" s="72" t="s">
        <v>82</v>
      </c>
      <c r="C60" s="73">
        <v>5108130</v>
      </c>
      <c r="D60" s="74">
        <f t="shared" si="14"/>
        <v>0</v>
      </c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</row>
    <row r="61" spans="1:16" outlineLevel="1" x14ac:dyDescent="0.3">
      <c r="A61" s="19" t="s">
        <v>85</v>
      </c>
      <c r="B61" s="72" t="s">
        <v>82</v>
      </c>
      <c r="C61" s="73">
        <v>5108140</v>
      </c>
      <c r="D61" s="74">
        <f t="shared" si="14"/>
        <v>0</v>
      </c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</row>
    <row r="62" spans="1:16" outlineLevel="1" x14ac:dyDescent="0.3">
      <c r="A62" s="19" t="s">
        <v>86</v>
      </c>
      <c r="B62" s="72" t="s">
        <v>87</v>
      </c>
      <c r="C62" s="73">
        <v>5108150</v>
      </c>
      <c r="D62" s="74">
        <f t="shared" si="14"/>
        <v>0</v>
      </c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</row>
    <row r="63" spans="1:16" outlineLevel="1" x14ac:dyDescent="0.3">
      <c r="A63" s="19" t="s">
        <v>88</v>
      </c>
      <c r="B63" s="72" t="s">
        <v>82</v>
      </c>
      <c r="C63" s="73">
        <v>5108160</v>
      </c>
      <c r="D63" s="74">
        <f t="shared" si="14"/>
        <v>0</v>
      </c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</row>
    <row r="64" spans="1:16" outlineLevel="1" x14ac:dyDescent="0.3">
      <c r="A64" s="19" t="s">
        <v>89</v>
      </c>
      <c r="B64" s="72" t="s">
        <v>89</v>
      </c>
      <c r="C64" s="73">
        <v>5108161</v>
      </c>
      <c r="D64" s="74">
        <f t="shared" si="14"/>
        <v>0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</row>
    <row r="65" spans="1:16" outlineLevel="1" x14ac:dyDescent="0.3">
      <c r="A65" s="19" t="s">
        <v>90</v>
      </c>
      <c r="B65" s="72" t="s">
        <v>90</v>
      </c>
      <c r="C65" s="73">
        <v>5108162</v>
      </c>
      <c r="D65" s="74">
        <f t="shared" si="14"/>
        <v>0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</row>
    <row r="66" spans="1:16" x14ac:dyDescent="0.3">
      <c r="A66" s="15" t="s">
        <v>91</v>
      </c>
      <c r="B66" s="75" t="s">
        <v>3</v>
      </c>
      <c r="C66" s="76"/>
      <c r="D66" s="77">
        <f t="shared" ref="D66:P66" si="15">SUM(D67:D77)</f>
        <v>641324760</v>
      </c>
      <c r="E66" s="77">
        <f t="shared" si="15"/>
        <v>53443730</v>
      </c>
      <c r="F66" s="77">
        <f t="shared" si="15"/>
        <v>53443730</v>
      </c>
      <c r="G66" s="77">
        <f t="shared" si="15"/>
        <v>53443730</v>
      </c>
      <c r="H66" s="77">
        <f t="shared" si="15"/>
        <v>53443730</v>
      </c>
      <c r="I66" s="77">
        <f t="shared" si="15"/>
        <v>53443730</v>
      </c>
      <c r="J66" s="77">
        <f t="shared" si="15"/>
        <v>53443730</v>
      </c>
      <c r="K66" s="77">
        <f t="shared" si="15"/>
        <v>53443730</v>
      </c>
      <c r="L66" s="77">
        <f t="shared" si="15"/>
        <v>53443730</v>
      </c>
      <c r="M66" s="77">
        <f t="shared" si="15"/>
        <v>53443730</v>
      </c>
      <c r="N66" s="77">
        <f t="shared" si="15"/>
        <v>53443730</v>
      </c>
      <c r="O66" s="77">
        <f t="shared" si="15"/>
        <v>53443730</v>
      </c>
      <c r="P66" s="77">
        <f t="shared" si="15"/>
        <v>53443730</v>
      </c>
    </row>
    <row r="67" spans="1:16" outlineLevel="1" x14ac:dyDescent="0.3">
      <c r="A67" s="19" t="s">
        <v>92</v>
      </c>
      <c r="B67" s="72" t="s">
        <v>93</v>
      </c>
      <c r="C67" s="73">
        <v>5109110</v>
      </c>
      <c r="D67" s="74">
        <f t="shared" ref="D67:D77" si="16">SUM(E67:P67)</f>
        <v>0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</row>
    <row r="68" spans="1:16" outlineLevel="1" x14ac:dyDescent="0.3">
      <c r="A68" s="19" t="s">
        <v>94</v>
      </c>
      <c r="B68" s="72" t="s">
        <v>93</v>
      </c>
      <c r="C68" s="73">
        <v>5109120</v>
      </c>
      <c r="D68" s="74">
        <f t="shared" si="16"/>
        <v>0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</row>
    <row r="69" spans="1:16" outlineLevel="1" x14ac:dyDescent="0.3">
      <c r="A69" s="19" t="s">
        <v>95</v>
      </c>
      <c r="B69" s="72" t="s">
        <v>93</v>
      </c>
      <c r="C69" s="73">
        <v>5109130</v>
      </c>
      <c r="D69" s="74">
        <f t="shared" si="16"/>
        <v>183936396</v>
      </c>
      <c r="E69" s="74">
        <v>15328033</v>
      </c>
      <c r="F69" s="74">
        <f>E69</f>
        <v>15328033</v>
      </c>
      <c r="G69" s="74">
        <f t="shared" ref="G69:P70" si="17">F69</f>
        <v>15328033</v>
      </c>
      <c r="H69" s="74">
        <f t="shared" si="17"/>
        <v>15328033</v>
      </c>
      <c r="I69" s="74">
        <f t="shared" si="17"/>
        <v>15328033</v>
      </c>
      <c r="J69" s="74">
        <f t="shared" si="17"/>
        <v>15328033</v>
      </c>
      <c r="K69" s="74">
        <f t="shared" si="17"/>
        <v>15328033</v>
      </c>
      <c r="L69" s="74">
        <f t="shared" si="17"/>
        <v>15328033</v>
      </c>
      <c r="M69" s="74">
        <f t="shared" si="17"/>
        <v>15328033</v>
      </c>
      <c r="N69" s="74">
        <f t="shared" si="17"/>
        <v>15328033</v>
      </c>
      <c r="O69" s="74">
        <f t="shared" si="17"/>
        <v>15328033</v>
      </c>
      <c r="P69" s="74">
        <f t="shared" si="17"/>
        <v>15328033</v>
      </c>
    </row>
    <row r="70" spans="1:16" outlineLevel="1" x14ac:dyDescent="0.3">
      <c r="A70" s="22" t="s">
        <v>96</v>
      </c>
      <c r="B70" s="72" t="s">
        <v>93</v>
      </c>
      <c r="C70" s="73">
        <v>5109140</v>
      </c>
      <c r="D70" s="74">
        <f t="shared" si="16"/>
        <v>457388364</v>
      </c>
      <c r="E70" s="74">
        <v>38115697</v>
      </c>
      <c r="F70" s="74">
        <f>E70</f>
        <v>38115697</v>
      </c>
      <c r="G70" s="74">
        <f t="shared" si="17"/>
        <v>38115697</v>
      </c>
      <c r="H70" s="74">
        <f t="shared" si="17"/>
        <v>38115697</v>
      </c>
      <c r="I70" s="74">
        <f t="shared" si="17"/>
        <v>38115697</v>
      </c>
      <c r="J70" s="74">
        <f t="shared" si="17"/>
        <v>38115697</v>
      </c>
      <c r="K70" s="74">
        <f t="shared" si="17"/>
        <v>38115697</v>
      </c>
      <c r="L70" s="74">
        <f t="shared" si="17"/>
        <v>38115697</v>
      </c>
      <c r="M70" s="74">
        <f t="shared" si="17"/>
        <v>38115697</v>
      </c>
      <c r="N70" s="74">
        <f t="shared" si="17"/>
        <v>38115697</v>
      </c>
      <c r="O70" s="74">
        <f t="shared" si="17"/>
        <v>38115697</v>
      </c>
      <c r="P70" s="74">
        <f t="shared" si="17"/>
        <v>38115697</v>
      </c>
    </row>
    <row r="71" spans="1:16" outlineLevel="1" x14ac:dyDescent="0.3">
      <c r="A71" s="19" t="s">
        <v>97</v>
      </c>
      <c r="B71" s="72" t="s">
        <v>93</v>
      </c>
      <c r="C71" s="73">
        <v>5109150</v>
      </c>
      <c r="D71" s="74">
        <f t="shared" si="16"/>
        <v>0</v>
      </c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</row>
    <row r="72" spans="1:16" outlineLevel="1" x14ac:dyDescent="0.3">
      <c r="A72" s="19" t="s">
        <v>98</v>
      </c>
      <c r="B72" s="72" t="s">
        <v>93</v>
      </c>
      <c r="C72" s="73">
        <v>5109160</v>
      </c>
      <c r="D72" s="74">
        <f t="shared" si="16"/>
        <v>0</v>
      </c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</row>
    <row r="73" spans="1:16" outlineLevel="1" x14ac:dyDescent="0.3">
      <c r="A73" s="19" t="s">
        <v>99</v>
      </c>
      <c r="B73" s="72" t="s">
        <v>93</v>
      </c>
      <c r="C73" s="73">
        <v>5109170</v>
      </c>
      <c r="D73" s="74">
        <f t="shared" si="16"/>
        <v>0</v>
      </c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</row>
    <row r="74" spans="1:16" outlineLevel="1" x14ac:dyDescent="0.3">
      <c r="A74" s="19" t="s">
        <v>100</v>
      </c>
      <c r="B74" s="72" t="s">
        <v>93</v>
      </c>
      <c r="C74" s="73">
        <v>5109180</v>
      </c>
      <c r="D74" s="74">
        <f t="shared" si="16"/>
        <v>0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spans="1:16" outlineLevel="1" x14ac:dyDescent="0.3">
      <c r="A75" s="19" t="s">
        <v>101</v>
      </c>
      <c r="B75" s="72" t="s">
        <v>93</v>
      </c>
      <c r="C75" s="73">
        <v>5109190</v>
      </c>
      <c r="D75" s="74">
        <f t="shared" si="16"/>
        <v>0</v>
      </c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</row>
    <row r="76" spans="1:16" outlineLevel="1" x14ac:dyDescent="0.3">
      <c r="A76" s="19" t="s">
        <v>102</v>
      </c>
      <c r="B76" s="72" t="s">
        <v>93</v>
      </c>
      <c r="C76" s="73">
        <v>5109210</v>
      </c>
      <c r="D76" s="74">
        <f t="shared" si="16"/>
        <v>0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</row>
    <row r="77" spans="1:16" outlineLevel="1" x14ac:dyDescent="0.3">
      <c r="A77" s="19" t="s">
        <v>103</v>
      </c>
      <c r="B77" s="72" t="s">
        <v>93</v>
      </c>
      <c r="C77" s="73">
        <v>5109220</v>
      </c>
      <c r="D77" s="74">
        <f t="shared" si="16"/>
        <v>0</v>
      </c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</row>
    <row r="78" spans="1:16" x14ac:dyDescent="0.3">
      <c r="A78" s="15" t="s">
        <v>104</v>
      </c>
      <c r="B78" s="75" t="s">
        <v>3</v>
      </c>
      <c r="C78" s="76"/>
      <c r="D78" s="77">
        <f t="shared" ref="D78:P78" si="18">SUM(D79:D84)</f>
        <v>213999996</v>
      </c>
      <c r="E78" s="77">
        <f t="shared" si="18"/>
        <v>11133333</v>
      </c>
      <c r="F78" s="77">
        <f t="shared" si="18"/>
        <v>21133333</v>
      </c>
      <c r="G78" s="77">
        <f t="shared" si="18"/>
        <v>21233333</v>
      </c>
      <c r="H78" s="77">
        <f t="shared" si="18"/>
        <v>11133333</v>
      </c>
      <c r="I78" s="77">
        <f t="shared" si="18"/>
        <v>21133333</v>
      </c>
      <c r="J78" s="77">
        <f t="shared" si="18"/>
        <v>21233333</v>
      </c>
      <c r="K78" s="77">
        <f t="shared" si="18"/>
        <v>11133333</v>
      </c>
      <c r="L78" s="77">
        <f t="shared" si="18"/>
        <v>21133333</v>
      </c>
      <c r="M78" s="77">
        <f t="shared" si="18"/>
        <v>21233333</v>
      </c>
      <c r="N78" s="77">
        <f t="shared" si="18"/>
        <v>11133333</v>
      </c>
      <c r="O78" s="77">
        <f t="shared" si="18"/>
        <v>21133333</v>
      </c>
      <c r="P78" s="77">
        <f t="shared" si="18"/>
        <v>21233333</v>
      </c>
    </row>
    <row r="79" spans="1:16" outlineLevel="1" x14ac:dyDescent="0.3">
      <c r="A79" s="19" t="s">
        <v>105</v>
      </c>
      <c r="B79" s="72" t="s">
        <v>106</v>
      </c>
      <c r="C79" s="73">
        <v>5110110</v>
      </c>
      <c r="D79" s="74">
        <f t="shared" ref="D79:D84" si="19">SUM(E79:P79)</f>
        <v>0</v>
      </c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</row>
    <row r="80" spans="1:16" outlineLevel="1" x14ac:dyDescent="0.3">
      <c r="A80" s="19" t="s">
        <v>107</v>
      </c>
      <c r="B80" s="72" t="s">
        <v>106</v>
      </c>
      <c r="C80" s="73">
        <v>5110120</v>
      </c>
      <c r="D80" s="74">
        <f t="shared" si="19"/>
        <v>0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</row>
    <row r="81" spans="1:16" s="81" customFormat="1" outlineLevel="1" x14ac:dyDescent="0.3">
      <c r="A81" s="32" t="s">
        <v>108</v>
      </c>
      <c r="B81" s="78" t="s">
        <v>106</v>
      </c>
      <c r="C81" s="79">
        <v>5110130</v>
      </c>
      <c r="D81" s="80">
        <f t="shared" si="19"/>
        <v>0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</row>
    <row r="82" spans="1:16" s="81" customFormat="1" outlineLevel="1" x14ac:dyDescent="0.3">
      <c r="A82" s="32" t="s">
        <v>109</v>
      </c>
      <c r="B82" s="78" t="s">
        <v>106</v>
      </c>
      <c r="C82" s="79">
        <v>5110140</v>
      </c>
      <c r="D82" s="80">
        <f t="shared" si="19"/>
        <v>209999996</v>
      </c>
      <c r="E82" s="82">
        <f>20833333-10000000</f>
        <v>10833333</v>
      </c>
      <c r="F82" s="80">
        <v>20833333</v>
      </c>
      <c r="G82" s="80">
        <v>20833333</v>
      </c>
      <c r="H82" s="82">
        <f>20833333-10000000</f>
        <v>10833333</v>
      </c>
      <c r="I82" s="80">
        <v>20833333</v>
      </c>
      <c r="J82" s="80">
        <v>20833333</v>
      </c>
      <c r="K82" s="82">
        <f>20833333-10000000</f>
        <v>10833333</v>
      </c>
      <c r="L82" s="80">
        <v>20833333</v>
      </c>
      <c r="M82" s="80">
        <v>20833333</v>
      </c>
      <c r="N82" s="82">
        <f>20833333-10000000</f>
        <v>10833333</v>
      </c>
      <c r="O82" s="80">
        <v>20833333</v>
      </c>
      <c r="P82" s="80">
        <v>20833333</v>
      </c>
    </row>
    <row r="83" spans="1:16" s="81" customFormat="1" outlineLevel="1" x14ac:dyDescent="0.3">
      <c r="A83" s="32" t="s">
        <v>110</v>
      </c>
      <c r="B83" s="78" t="s">
        <v>111</v>
      </c>
      <c r="C83" s="79">
        <v>5110150</v>
      </c>
      <c r="D83" s="80">
        <f t="shared" si="19"/>
        <v>4000000</v>
      </c>
      <c r="E83" s="80">
        <v>300000</v>
      </c>
      <c r="F83" s="80">
        <v>300000</v>
      </c>
      <c r="G83" s="80">
        <v>400000</v>
      </c>
      <c r="H83" s="80">
        <v>300000</v>
      </c>
      <c r="I83" s="80">
        <v>300000</v>
      </c>
      <c r="J83" s="80">
        <v>400000</v>
      </c>
      <c r="K83" s="80">
        <v>300000</v>
      </c>
      <c r="L83" s="80">
        <v>300000</v>
      </c>
      <c r="M83" s="80">
        <v>400000</v>
      </c>
      <c r="N83" s="80">
        <v>300000</v>
      </c>
      <c r="O83" s="80">
        <v>300000</v>
      </c>
      <c r="P83" s="80">
        <v>400000</v>
      </c>
    </row>
    <row r="84" spans="1:16" s="81" customFormat="1" outlineLevel="1" x14ac:dyDescent="0.3">
      <c r="A84" s="32" t="s">
        <v>112</v>
      </c>
      <c r="B84" s="78" t="s">
        <v>111</v>
      </c>
      <c r="C84" s="79" t="s">
        <v>113</v>
      </c>
      <c r="D84" s="80">
        <f t="shared" si="19"/>
        <v>0</v>
      </c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</row>
    <row r="85" spans="1:16" x14ac:dyDescent="0.3">
      <c r="A85" s="15" t="s">
        <v>114</v>
      </c>
      <c r="B85" s="75" t="s">
        <v>3</v>
      </c>
      <c r="C85" s="76"/>
      <c r="D85" s="77">
        <f t="shared" ref="D85:P85" si="20">SUM(D86:D92)</f>
        <v>0</v>
      </c>
      <c r="E85" s="77">
        <f t="shared" si="20"/>
        <v>0</v>
      </c>
      <c r="F85" s="77">
        <f t="shared" si="20"/>
        <v>0</v>
      </c>
      <c r="G85" s="77">
        <f t="shared" si="20"/>
        <v>0</v>
      </c>
      <c r="H85" s="77">
        <f t="shared" si="20"/>
        <v>0</v>
      </c>
      <c r="I85" s="77">
        <f t="shared" si="20"/>
        <v>0</v>
      </c>
      <c r="J85" s="77">
        <f t="shared" si="20"/>
        <v>0</v>
      </c>
      <c r="K85" s="77">
        <f t="shared" si="20"/>
        <v>0</v>
      </c>
      <c r="L85" s="77">
        <f t="shared" si="20"/>
        <v>0</v>
      </c>
      <c r="M85" s="77">
        <f t="shared" si="20"/>
        <v>0</v>
      </c>
      <c r="N85" s="77">
        <f t="shared" si="20"/>
        <v>0</v>
      </c>
      <c r="O85" s="77">
        <f t="shared" si="20"/>
        <v>0</v>
      </c>
      <c r="P85" s="77">
        <f t="shared" si="20"/>
        <v>0</v>
      </c>
    </row>
    <row r="86" spans="1:16" outlineLevel="1" x14ac:dyDescent="0.3">
      <c r="A86" s="19" t="s">
        <v>115</v>
      </c>
      <c r="B86" s="72" t="s">
        <v>116</v>
      </c>
      <c r="C86" s="73">
        <v>5111110</v>
      </c>
      <c r="D86" s="74">
        <f t="shared" ref="D86:D92" si="21">SUM(E86:P86)</f>
        <v>0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</row>
    <row r="87" spans="1:16" outlineLevel="1" x14ac:dyDescent="0.3">
      <c r="A87" s="19" t="s">
        <v>117</v>
      </c>
      <c r="B87" s="72" t="s">
        <v>116</v>
      </c>
      <c r="C87" s="73">
        <v>5111120</v>
      </c>
      <c r="D87" s="74">
        <f t="shared" si="21"/>
        <v>0</v>
      </c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</row>
    <row r="88" spans="1:16" outlineLevel="1" x14ac:dyDescent="0.3">
      <c r="A88" s="19" t="s">
        <v>118</v>
      </c>
      <c r="B88" s="72" t="s">
        <v>116</v>
      </c>
      <c r="C88" s="73">
        <v>5111130</v>
      </c>
      <c r="D88" s="74">
        <f t="shared" si="21"/>
        <v>0</v>
      </c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</row>
    <row r="89" spans="1:16" outlineLevel="1" x14ac:dyDescent="0.3">
      <c r="A89" s="19" t="s">
        <v>119</v>
      </c>
      <c r="B89" s="72" t="s">
        <v>116</v>
      </c>
      <c r="C89" s="73">
        <v>5111140</v>
      </c>
      <c r="D89" s="74">
        <f t="shared" si="21"/>
        <v>0</v>
      </c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</row>
    <row r="90" spans="1:16" outlineLevel="1" x14ac:dyDescent="0.3">
      <c r="A90" s="19" t="s">
        <v>120</v>
      </c>
      <c r="B90" s="72" t="s">
        <v>116</v>
      </c>
      <c r="C90" s="73">
        <v>5111150</v>
      </c>
      <c r="D90" s="74">
        <f t="shared" si="21"/>
        <v>0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</row>
    <row r="91" spans="1:16" outlineLevel="1" x14ac:dyDescent="0.3">
      <c r="A91" s="19" t="s">
        <v>121</v>
      </c>
      <c r="B91" s="72" t="s">
        <v>116</v>
      </c>
      <c r="C91" s="73">
        <v>5111160</v>
      </c>
      <c r="D91" s="74">
        <f t="shared" si="21"/>
        <v>0</v>
      </c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</row>
    <row r="92" spans="1:16" outlineLevel="1" x14ac:dyDescent="0.3">
      <c r="A92" s="19" t="s">
        <v>122</v>
      </c>
      <c r="B92" s="72" t="s">
        <v>116</v>
      </c>
      <c r="C92" s="73">
        <v>5111141</v>
      </c>
      <c r="D92" s="74">
        <f t="shared" si="21"/>
        <v>0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</row>
    <row r="93" spans="1:16" x14ac:dyDescent="0.3">
      <c r="A93" s="15" t="s">
        <v>123</v>
      </c>
      <c r="B93" s="75" t="s">
        <v>3</v>
      </c>
      <c r="C93" s="76"/>
      <c r="D93" s="77">
        <f t="shared" ref="D93:P93" si="22">SUM(D94:D95)</f>
        <v>0</v>
      </c>
      <c r="E93" s="77">
        <f t="shared" si="22"/>
        <v>0</v>
      </c>
      <c r="F93" s="77">
        <f t="shared" si="22"/>
        <v>0</v>
      </c>
      <c r="G93" s="77">
        <f t="shared" si="22"/>
        <v>0</v>
      </c>
      <c r="H93" s="77">
        <f t="shared" si="22"/>
        <v>0</v>
      </c>
      <c r="I93" s="77">
        <f t="shared" si="22"/>
        <v>0</v>
      </c>
      <c r="J93" s="77">
        <f t="shared" si="22"/>
        <v>0</v>
      </c>
      <c r="K93" s="77">
        <f t="shared" si="22"/>
        <v>0</v>
      </c>
      <c r="L93" s="77">
        <f t="shared" si="22"/>
        <v>0</v>
      </c>
      <c r="M93" s="77">
        <f t="shared" si="22"/>
        <v>0</v>
      </c>
      <c r="N93" s="77">
        <f t="shared" si="22"/>
        <v>0</v>
      </c>
      <c r="O93" s="77">
        <f t="shared" si="22"/>
        <v>0</v>
      </c>
      <c r="P93" s="77">
        <f t="shared" si="22"/>
        <v>0</v>
      </c>
    </row>
    <row r="94" spans="1:16" outlineLevel="1" x14ac:dyDescent="0.3">
      <c r="A94" s="19" t="s">
        <v>124</v>
      </c>
      <c r="B94" s="72" t="s">
        <v>125</v>
      </c>
      <c r="C94" s="73">
        <v>5112110</v>
      </c>
      <c r="D94" s="74">
        <f>SUM(E94:P94)</f>
        <v>0</v>
      </c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</row>
    <row r="95" spans="1:16" outlineLevel="1" x14ac:dyDescent="0.3">
      <c r="A95" s="19" t="s">
        <v>126</v>
      </c>
      <c r="B95" s="72" t="s">
        <v>126</v>
      </c>
      <c r="C95" s="73">
        <v>5112120</v>
      </c>
      <c r="D95" s="74">
        <f>SUM(E95:P95)</f>
        <v>0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</row>
    <row r="96" spans="1:16" x14ac:dyDescent="0.3">
      <c r="A96" s="15" t="s">
        <v>127</v>
      </c>
      <c r="B96" s="75" t="s">
        <v>3</v>
      </c>
      <c r="C96" s="76"/>
      <c r="D96" s="77">
        <f t="shared" ref="D96:P96" si="23">SUM(D97:D105)</f>
        <v>557999996</v>
      </c>
      <c r="E96" s="77">
        <f t="shared" si="23"/>
        <v>46483333</v>
      </c>
      <c r="F96" s="77">
        <f t="shared" si="23"/>
        <v>46483333</v>
      </c>
      <c r="G96" s="77">
        <f t="shared" si="23"/>
        <v>46533333</v>
      </c>
      <c r="H96" s="77">
        <f t="shared" si="23"/>
        <v>46483333</v>
      </c>
      <c r="I96" s="77">
        <f t="shared" si="23"/>
        <v>46483333</v>
      </c>
      <c r="J96" s="77">
        <f t="shared" si="23"/>
        <v>46533333</v>
      </c>
      <c r="K96" s="77">
        <f t="shared" si="23"/>
        <v>46483333</v>
      </c>
      <c r="L96" s="77">
        <f t="shared" si="23"/>
        <v>46483333</v>
      </c>
      <c r="M96" s="77">
        <f t="shared" si="23"/>
        <v>46533333</v>
      </c>
      <c r="N96" s="77">
        <f t="shared" si="23"/>
        <v>46483333</v>
      </c>
      <c r="O96" s="77">
        <f t="shared" si="23"/>
        <v>46483333</v>
      </c>
      <c r="P96" s="77">
        <f t="shared" si="23"/>
        <v>46533333</v>
      </c>
    </row>
    <row r="97" spans="1:16" outlineLevel="1" x14ac:dyDescent="0.3">
      <c r="A97" s="19" t="s">
        <v>128</v>
      </c>
      <c r="B97" s="72" t="s">
        <v>129</v>
      </c>
      <c r="C97" s="73">
        <v>5113110</v>
      </c>
      <c r="D97" s="74">
        <f t="shared" ref="D97:D105" si="24">SUM(E97:P97)</f>
        <v>0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</row>
    <row r="98" spans="1:16" s="81" customFormat="1" outlineLevel="1" x14ac:dyDescent="0.3">
      <c r="A98" s="32" t="s">
        <v>130</v>
      </c>
      <c r="B98" s="78" t="s">
        <v>131</v>
      </c>
      <c r="C98" s="79">
        <v>5113120</v>
      </c>
      <c r="D98" s="80">
        <f t="shared" si="24"/>
        <v>1400000</v>
      </c>
      <c r="E98" s="80">
        <v>100000</v>
      </c>
      <c r="F98" s="80">
        <v>100000</v>
      </c>
      <c r="G98" s="80">
        <v>150000</v>
      </c>
      <c r="H98" s="80">
        <v>100000</v>
      </c>
      <c r="I98" s="80">
        <v>100000</v>
      </c>
      <c r="J98" s="80">
        <v>150000</v>
      </c>
      <c r="K98" s="80">
        <v>100000</v>
      </c>
      <c r="L98" s="80">
        <v>100000</v>
      </c>
      <c r="M98" s="80">
        <v>150000</v>
      </c>
      <c r="N98" s="80">
        <v>100000</v>
      </c>
      <c r="O98" s="80">
        <v>100000</v>
      </c>
      <c r="P98" s="80">
        <v>150000</v>
      </c>
    </row>
    <row r="99" spans="1:16" s="81" customFormat="1" outlineLevel="1" x14ac:dyDescent="0.3">
      <c r="A99" s="32" t="s">
        <v>132</v>
      </c>
      <c r="B99" s="78" t="s">
        <v>133</v>
      </c>
      <c r="C99" s="79">
        <v>5113130</v>
      </c>
      <c r="D99" s="80">
        <f t="shared" si="24"/>
        <v>6600000</v>
      </c>
      <c r="E99" s="80">
        <v>550000</v>
      </c>
      <c r="F99" s="80">
        <v>550000</v>
      </c>
      <c r="G99" s="80">
        <v>550000</v>
      </c>
      <c r="H99" s="80">
        <v>550000</v>
      </c>
      <c r="I99" s="80">
        <v>550000</v>
      </c>
      <c r="J99" s="80">
        <v>550000</v>
      </c>
      <c r="K99" s="80">
        <v>550000</v>
      </c>
      <c r="L99" s="80">
        <v>550000</v>
      </c>
      <c r="M99" s="80">
        <v>550000</v>
      </c>
      <c r="N99" s="80">
        <v>550000</v>
      </c>
      <c r="O99" s="80">
        <v>550000</v>
      </c>
      <c r="P99" s="80">
        <v>550000</v>
      </c>
    </row>
    <row r="100" spans="1:16" s="81" customFormat="1" outlineLevel="1" x14ac:dyDescent="0.3">
      <c r="A100" s="32" t="s">
        <v>134</v>
      </c>
      <c r="B100" s="78" t="s">
        <v>133</v>
      </c>
      <c r="C100" s="79">
        <v>5113140</v>
      </c>
      <c r="D100" s="80">
        <f t="shared" si="24"/>
        <v>0</v>
      </c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</row>
    <row r="101" spans="1:16" s="81" customFormat="1" outlineLevel="1" x14ac:dyDescent="0.3">
      <c r="A101" s="32" t="s">
        <v>135</v>
      </c>
      <c r="B101" s="78" t="s">
        <v>136</v>
      </c>
      <c r="C101" s="79">
        <v>5113150</v>
      </c>
      <c r="D101" s="80">
        <f t="shared" si="24"/>
        <v>0</v>
      </c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</row>
    <row r="102" spans="1:16" s="81" customFormat="1" outlineLevel="1" x14ac:dyDescent="0.3">
      <c r="A102" s="32" t="s">
        <v>137</v>
      </c>
      <c r="B102" s="78" t="s">
        <v>133</v>
      </c>
      <c r="C102" s="79"/>
      <c r="D102" s="80">
        <f t="shared" si="24"/>
        <v>399999996</v>
      </c>
      <c r="E102" s="80">
        <v>33333333</v>
      </c>
      <c r="F102" s="80">
        <v>33333333</v>
      </c>
      <c r="G102" s="80">
        <v>33333333</v>
      </c>
      <c r="H102" s="80">
        <v>33333333</v>
      </c>
      <c r="I102" s="80">
        <v>33333333</v>
      </c>
      <c r="J102" s="80">
        <v>33333333</v>
      </c>
      <c r="K102" s="80">
        <v>33333333</v>
      </c>
      <c r="L102" s="80">
        <v>33333333</v>
      </c>
      <c r="M102" s="80">
        <v>33333333</v>
      </c>
      <c r="N102" s="80">
        <v>33333333</v>
      </c>
      <c r="O102" s="80">
        <v>33333333</v>
      </c>
      <c r="P102" s="80">
        <v>33333333</v>
      </c>
    </row>
    <row r="103" spans="1:16" s="81" customFormat="1" outlineLevel="1" x14ac:dyDescent="0.3">
      <c r="A103" s="32" t="s">
        <v>138</v>
      </c>
      <c r="B103" s="78" t="s">
        <v>133</v>
      </c>
      <c r="C103" s="79">
        <v>5113170</v>
      </c>
      <c r="D103" s="80">
        <f t="shared" si="24"/>
        <v>150000000</v>
      </c>
      <c r="E103" s="80">
        <v>12500000</v>
      </c>
      <c r="F103" s="80">
        <v>12500000</v>
      </c>
      <c r="G103" s="80">
        <v>12500000</v>
      </c>
      <c r="H103" s="80">
        <v>12500000</v>
      </c>
      <c r="I103" s="80">
        <v>12500000</v>
      </c>
      <c r="J103" s="80">
        <v>12500000</v>
      </c>
      <c r="K103" s="80">
        <v>12500000</v>
      </c>
      <c r="L103" s="80">
        <v>12500000</v>
      </c>
      <c r="M103" s="80">
        <v>12500000</v>
      </c>
      <c r="N103" s="80">
        <v>12500000</v>
      </c>
      <c r="O103" s="80">
        <v>12500000</v>
      </c>
      <c r="P103" s="80">
        <v>12500000</v>
      </c>
    </row>
    <row r="104" spans="1:16" outlineLevel="1" x14ac:dyDescent="0.3">
      <c r="A104" s="19" t="s">
        <v>139</v>
      </c>
      <c r="B104" s="72" t="s">
        <v>3</v>
      </c>
      <c r="C104" s="73">
        <v>5113210</v>
      </c>
      <c r="D104" s="74">
        <f t="shared" si="24"/>
        <v>0</v>
      </c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</row>
    <row r="105" spans="1:16" outlineLevel="1" x14ac:dyDescent="0.3">
      <c r="A105" s="19" t="s">
        <v>140</v>
      </c>
      <c r="B105" s="78" t="s">
        <v>141</v>
      </c>
      <c r="C105" s="73">
        <v>5113160</v>
      </c>
      <c r="D105" s="74">
        <f t="shared" si="24"/>
        <v>0</v>
      </c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</row>
    <row r="106" spans="1:16" x14ac:dyDescent="0.3">
      <c r="A106" s="15" t="s">
        <v>142</v>
      </c>
      <c r="B106" s="75" t="s">
        <v>3</v>
      </c>
      <c r="C106" s="76"/>
      <c r="D106" s="77">
        <f t="shared" ref="D106:P106" si="25">D107</f>
        <v>0</v>
      </c>
      <c r="E106" s="77">
        <f t="shared" si="25"/>
        <v>0</v>
      </c>
      <c r="F106" s="77">
        <f t="shared" si="25"/>
        <v>0</v>
      </c>
      <c r="G106" s="77">
        <f t="shared" si="25"/>
        <v>0</v>
      </c>
      <c r="H106" s="77">
        <f t="shared" si="25"/>
        <v>0</v>
      </c>
      <c r="I106" s="77">
        <f t="shared" si="25"/>
        <v>0</v>
      </c>
      <c r="J106" s="77">
        <f t="shared" si="25"/>
        <v>0</v>
      </c>
      <c r="K106" s="77">
        <f t="shared" si="25"/>
        <v>0</v>
      </c>
      <c r="L106" s="77">
        <f t="shared" si="25"/>
        <v>0</v>
      </c>
      <c r="M106" s="77">
        <f t="shared" si="25"/>
        <v>0</v>
      </c>
      <c r="N106" s="77">
        <f t="shared" si="25"/>
        <v>0</v>
      </c>
      <c r="O106" s="77">
        <f t="shared" si="25"/>
        <v>0</v>
      </c>
      <c r="P106" s="77">
        <f t="shared" si="25"/>
        <v>0</v>
      </c>
    </row>
    <row r="107" spans="1:16" outlineLevel="1" x14ac:dyDescent="0.3">
      <c r="A107" s="19" t="s">
        <v>143</v>
      </c>
      <c r="B107" s="72" t="s">
        <v>144</v>
      </c>
      <c r="C107" s="73">
        <v>5115110</v>
      </c>
      <c r="D107" s="74">
        <f>SUM(E107:P107)</f>
        <v>0</v>
      </c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</row>
    <row r="108" spans="1:16" x14ac:dyDescent="0.3">
      <c r="A108" s="15" t="s">
        <v>145</v>
      </c>
      <c r="B108" s="75" t="s">
        <v>3</v>
      </c>
      <c r="C108" s="76"/>
      <c r="D108" s="77">
        <f t="shared" ref="D108:P108" si="26">SUM(D109:D115)</f>
        <v>0</v>
      </c>
      <c r="E108" s="77">
        <f t="shared" si="26"/>
        <v>0</v>
      </c>
      <c r="F108" s="77">
        <f t="shared" si="26"/>
        <v>0</v>
      </c>
      <c r="G108" s="77">
        <f t="shared" si="26"/>
        <v>0</v>
      </c>
      <c r="H108" s="77">
        <f t="shared" si="26"/>
        <v>0</v>
      </c>
      <c r="I108" s="77">
        <f t="shared" si="26"/>
        <v>0</v>
      </c>
      <c r="J108" s="77">
        <f t="shared" si="26"/>
        <v>0</v>
      </c>
      <c r="K108" s="77">
        <f t="shared" si="26"/>
        <v>0</v>
      </c>
      <c r="L108" s="77">
        <f t="shared" si="26"/>
        <v>0</v>
      </c>
      <c r="M108" s="77">
        <f t="shared" si="26"/>
        <v>0</v>
      </c>
      <c r="N108" s="77">
        <f t="shared" si="26"/>
        <v>0</v>
      </c>
      <c r="O108" s="77">
        <f t="shared" si="26"/>
        <v>0</v>
      </c>
      <c r="P108" s="77">
        <f t="shared" si="26"/>
        <v>0</v>
      </c>
    </row>
    <row r="109" spans="1:16" outlineLevel="1" x14ac:dyDescent="0.3">
      <c r="A109" s="19" t="s">
        <v>146</v>
      </c>
      <c r="B109" s="72" t="s">
        <v>147</v>
      </c>
      <c r="C109" s="73">
        <v>5116110</v>
      </c>
      <c r="D109" s="74">
        <f t="shared" ref="D109:D115" si="27">SUM(E109:P109)</f>
        <v>0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</row>
    <row r="110" spans="1:16" outlineLevel="1" x14ac:dyDescent="0.3">
      <c r="A110" s="19" t="s">
        <v>148</v>
      </c>
      <c r="B110" s="72" t="s">
        <v>147</v>
      </c>
      <c r="C110" s="73">
        <v>5116120</v>
      </c>
      <c r="D110" s="74">
        <f t="shared" si="27"/>
        <v>0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</row>
    <row r="111" spans="1:16" outlineLevel="1" x14ac:dyDescent="0.3">
      <c r="A111" s="19" t="s">
        <v>149</v>
      </c>
      <c r="B111" s="72" t="s">
        <v>150</v>
      </c>
      <c r="C111" s="73">
        <v>5116130</v>
      </c>
      <c r="D111" s="74">
        <f t="shared" si="27"/>
        <v>0</v>
      </c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</row>
    <row r="112" spans="1:16" outlineLevel="1" x14ac:dyDescent="0.3">
      <c r="A112" s="19" t="s">
        <v>151</v>
      </c>
      <c r="B112" s="72" t="s">
        <v>147</v>
      </c>
      <c r="C112" s="73">
        <v>5116140</v>
      </c>
      <c r="D112" s="74">
        <f t="shared" si="27"/>
        <v>0</v>
      </c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</row>
    <row r="113" spans="1:16" outlineLevel="1" x14ac:dyDescent="0.3">
      <c r="A113" s="19" t="s">
        <v>152</v>
      </c>
      <c r="B113" s="72" t="s">
        <v>150</v>
      </c>
      <c r="C113" s="73">
        <v>5116150</v>
      </c>
      <c r="D113" s="74">
        <f t="shared" si="27"/>
        <v>0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</row>
    <row r="114" spans="1:16" outlineLevel="1" x14ac:dyDescent="0.3">
      <c r="A114" s="19" t="s">
        <v>153</v>
      </c>
      <c r="B114" s="72" t="s">
        <v>147</v>
      </c>
      <c r="C114" s="73">
        <v>5116160</v>
      </c>
      <c r="D114" s="74">
        <f t="shared" si="27"/>
        <v>0</v>
      </c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</row>
    <row r="115" spans="1:16" outlineLevel="1" x14ac:dyDescent="0.3">
      <c r="A115" s="19" t="s">
        <v>154</v>
      </c>
      <c r="B115" s="72" t="s">
        <v>147</v>
      </c>
      <c r="C115" s="73">
        <v>5116111</v>
      </c>
      <c r="D115" s="74">
        <f t="shared" si="27"/>
        <v>0</v>
      </c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</row>
    <row r="116" spans="1:16" x14ac:dyDescent="0.3">
      <c r="A116" s="15" t="s">
        <v>155</v>
      </c>
      <c r="B116" s="75" t="s">
        <v>3</v>
      </c>
      <c r="C116" s="76"/>
      <c r="D116" s="77">
        <f t="shared" ref="D116:P116" si="28">D117</f>
        <v>0</v>
      </c>
      <c r="E116" s="77">
        <f t="shared" si="28"/>
        <v>0</v>
      </c>
      <c r="F116" s="77">
        <f t="shared" si="28"/>
        <v>0</v>
      </c>
      <c r="G116" s="77">
        <f t="shared" si="28"/>
        <v>0</v>
      </c>
      <c r="H116" s="77">
        <f t="shared" si="28"/>
        <v>0</v>
      </c>
      <c r="I116" s="77">
        <f t="shared" si="28"/>
        <v>0</v>
      </c>
      <c r="J116" s="77">
        <f t="shared" si="28"/>
        <v>0</v>
      </c>
      <c r="K116" s="77">
        <f t="shared" si="28"/>
        <v>0</v>
      </c>
      <c r="L116" s="77">
        <f t="shared" si="28"/>
        <v>0</v>
      </c>
      <c r="M116" s="77">
        <f t="shared" si="28"/>
        <v>0</v>
      </c>
      <c r="N116" s="77">
        <f t="shared" si="28"/>
        <v>0</v>
      </c>
      <c r="O116" s="77">
        <f t="shared" si="28"/>
        <v>0</v>
      </c>
      <c r="P116" s="77">
        <f t="shared" si="28"/>
        <v>0</v>
      </c>
    </row>
    <row r="117" spans="1:16" outlineLevel="1" x14ac:dyDescent="0.3">
      <c r="A117" s="19" t="s">
        <v>156</v>
      </c>
      <c r="B117" s="72" t="s">
        <v>157</v>
      </c>
      <c r="C117" s="73">
        <v>5117110</v>
      </c>
      <c r="D117" s="74">
        <f>SUM(E117:P117)</f>
        <v>0</v>
      </c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</row>
    <row r="118" spans="1:16" x14ac:dyDescent="0.3">
      <c r="A118" s="15" t="s">
        <v>158</v>
      </c>
      <c r="B118" s="75" t="s">
        <v>3</v>
      </c>
      <c r="C118" s="76"/>
      <c r="D118" s="77">
        <f t="shared" ref="D118:P118" si="29">SUM(D119:D123)</f>
        <v>1800000</v>
      </c>
      <c r="E118" s="77">
        <f t="shared" si="29"/>
        <v>150000</v>
      </c>
      <c r="F118" s="77">
        <f t="shared" si="29"/>
        <v>150000</v>
      </c>
      <c r="G118" s="77">
        <f t="shared" si="29"/>
        <v>150000</v>
      </c>
      <c r="H118" s="77">
        <f t="shared" si="29"/>
        <v>150000</v>
      </c>
      <c r="I118" s="77">
        <f t="shared" si="29"/>
        <v>150000</v>
      </c>
      <c r="J118" s="77">
        <f t="shared" si="29"/>
        <v>150000</v>
      </c>
      <c r="K118" s="77">
        <f t="shared" si="29"/>
        <v>150000</v>
      </c>
      <c r="L118" s="77">
        <f t="shared" si="29"/>
        <v>150000</v>
      </c>
      <c r="M118" s="77">
        <f t="shared" si="29"/>
        <v>150000</v>
      </c>
      <c r="N118" s="77">
        <f t="shared" si="29"/>
        <v>150000</v>
      </c>
      <c r="O118" s="77">
        <f t="shared" si="29"/>
        <v>150000</v>
      </c>
      <c r="P118" s="77">
        <f t="shared" si="29"/>
        <v>150000</v>
      </c>
    </row>
    <row r="119" spans="1:16" outlineLevel="1" x14ac:dyDescent="0.3">
      <c r="A119" s="19" t="s">
        <v>159</v>
      </c>
      <c r="B119" s="72" t="s">
        <v>160</v>
      </c>
      <c r="C119" s="73">
        <v>5118110</v>
      </c>
      <c r="D119" s="74">
        <f>SUM(E119:P119)</f>
        <v>0</v>
      </c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</row>
    <row r="120" spans="1:16" outlineLevel="1" x14ac:dyDescent="0.3">
      <c r="A120" s="19" t="s">
        <v>161</v>
      </c>
      <c r="B120" s="72" t="s">
        <v>162</v>
      </c>
      <c r="C120" s="73">
        <v>5118120</v>
      </c>
      <c r="D120" s="74">
        <f>SUM(E120:P120)</f>
        <v>0</v>
      </c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 spans="1:16" s="81" customFormat="1" outlineLevel="1" x14ac:dyDescent="0.3">
      <c r="A121" s="32" t="s">
        <v>163</v>
      </c>
      <c r="B121" s="78" t="s">
        <v>164</v>
      </c>
      <c r="C121" s="79">
        <v>5118130</v>
      </c>
      <c r="D121" s="80">
        <f>SUM(E121:P121)</f>
        <v>1800000</v>
      </c>
      <c r="E121" s="80">
        <v>150000</v>
      </c>
      <c r="F121" s="80">
        <v>150000</v>
      </c>
      <c r="G121" s="80">
        <v>150000</v>
      </c>
      <c r="H121" s="80">
        <v>150000</v>
      </c>
      <c r="I121" s="80">
        <v>150000</v>
      </c>
      <c r="J121" s="80">
        <v>150000</v>
      </c>
      <c r="K121" s="80">
        <v>150000</v>
      </c>
      <c r="L121" s="80">
        <v>150000</v>
      </c>
      <c r="M121" s="80">
        <v>150000</v>
      </c>
      <c r="N121" s="80">
        <v>150000</v>
      </c>
      <c r="O121" s="80">
        <v>150000</v>
      </c>
      <c r="P121" s="80">
        <v>150000</v>
      </c>
    </row>
    <row r="122" spans="1:16" outlineLevel="1" x14ac:dyDescent="0.3">
      <c r="A122" s="19" t="s">
        <v>165</v>
      </c>
      <c r="B122" s="72" t="s">
        <v>3</v>
      </c>
      <c r="C122" s="73">
        <v>5118140</v>
      </c>
      <c r="D122" s="74">
        <f>SUM(E122:P122)</f>
        <v>0</v>
      </c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</row>
    <row r="123" spans="1:16" outlineLevel="1" x14ac:dyDescent="0.3">
      <c r="A123" s="19" t="s">
        <v>166</v>
      </c>
      <c r="B123" s="72" t="s">
        <v>3</v>
      </c>
      <c r="C123" s="73">
        <v>5118150</v>
      </c>
      <c r="D123" s="74">
        <f>SUM(E123:P123)</f>
        <v>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</row>
    <row r="124" spans="1:16" x14ac:dyDescent="0.3">
      <c r="A124" s="15" t="s">
        <v>167</v>
      </c>
      <c r="B124" s="75" t="s">
        <v>3</v>
      </c>
      <c r="C124" s="76"/>
      <c r="D124" s="77">
        <f t="shared" ref="D124:P124" si="30">SUM(D125:D126)</f>
        <v>0</v>
      </c>
      <c r="E124" s="77">
        <f t="shared" si="30"/>
        <v>0</v>
      </c>
      <c r="F124" s="77">
        <f t="shared" si="30"/>
        <v>0</v>
      </c>
      <c r="G124" s="77">
        <f t="shared" si="30"/>
        <v>0</v>
      </c>
      <c r="H124" s="77">
        <f t="shared" si="30"/>
        <v>0</v>
      </c>
      <c r="I124" s="77">
        <f t="shared" si="30"/>
        <v>0</v>
      </c>
      <c r="J124" s="77">
        <f t="shared" si="30"/>
        <v>0</v>
      </c>
      <c r="K124" s="77">
        <f t="shared" si="30"/>
        <v>0</v>
      </c>
      <c r="L124" s="77">
        <f t="shared" si="30"/>
        <v>0</v>
      </c>
      <c r="M124" s="77">
        <f t="shared" si="30"/>
        <v>0</v>
      </c>
      <c r="N124" s="77">
        <f t="shared" si="30"/>
        <v>0</v>
      </c>
      <c r="O124" s="77">
        <f t="shared" si="30"/>
        <v>0</v>
      </c>
      <c r="P124" s="77">
        <f t="shared" si="30"/>
        <v>0</v>
      </c>
    </row>
    <row r="125" spans="1:16" outlineLevel="1" x14ac:dyDescent="0.3">
      <c r="A125" s="19" t="s">
        <v>168</v>
      </c>
      <c r="B125" s="72" t="s">
        <v>169</v>
      </c>
      <c r="C125" s="73">
        <v>5130110</v>
      </c>
      <c r="D125" s="74">
        <f>SUM(E125:P125)</f>
        <v>0</v>
      </c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</row>
    <row r="126" spans="1:16" outlineLevel="1" x14ac:dyDescent="0.3">
      <c r="A126" s="19" t="s">
        <v>170</v>
      </c>
      <c r="B126" s="72" t="s">
        <v>171</v>
      </c>
      <c r="C126" s="73">
        <v>5130120</v>
      </c>
      <c r="D126" s="74">
        <f>SUM(E126:P126)</f>
        <v>0</v>
      </c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</row>
    <row r="127" spans="1:16" x14ac:dyDescent="0.3">
      <c r="A127" s="15" t="s">
        <v>172</v>
      </c>
      <c r="B127" s="75" t="s">
        <v>3</v>
      </c>
      <c r="C127" s="76"/>
      <c r="D127" s="77">
        <f t="shared" ref="D127:P127" si="31">SUM(D128:D135)</f>
        <v>3600000</v>
      </c>
      <c r="E127" s="77">
        <f t="shared" si="31"/>
        <v>300000</v>
      </c>
      <c r="F127" s="77">
        <f t="shared" si="31"/>
        <v>300000</v>
      </c>
      <c r="G127" s="77">
        <f t="shared" si="31"/>
        <v>300000</v>
      </c>
      <c r="H127" s="77">
        <f t="shared" si="31"/>
        <v>300000</v>
      </c>
      <c r="I127" s="77">
        <f t="shared" si="31"/>
        <v>300000</v>
      </c>
      <c r="J127" s="77">
        <f t="shared" si="31"/>
        <v>300000</v>
      </c>
      <c r="K127" s="77">
        <f t="shared" si="31"/>
        <v>300000</v>
      </c>
      <c r="L127" s="77">
        <f t="shared" si="31"/>
        <v>300000</v>
      </c>
      <c r="M127" s="77">
        <f t="shared" si="31"/>
        <v>300000</v>
      </c>
      <c r="N127" s="77">
        <f t="shared" si="31"/>
        <v>300000</v>
      </c>
      <c r="O127" s="77">
        <f t="shared" si="31"/>
        <v>300000</v>
      </c>
      <c r="P127" s="77">
        <f t="shared" si="31"/>
        <v>300000</v>
      </c>
    </row>
    <row r="128" spans="1:16" outlineLevel="1" x14ac:dyDescent="0.3">
      <c r="A128" s="19" t="s">
        <v>173</v>
      </c>
      <c r="B128" s="72" t="s">
        <v>174</v>
      </c>
      <c r="C128" s="73">
        <v>5119110</v>
      </c>
      <c r="D128" s="74">
        <f t="shared" ref="D128:D135" si="32">SUM(E128:P128)</f>
        <v>0</v>
      </c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</row>
    <row r="129" spans="1:16" outlineLevel="1" x14ac:dyDescent="0.3">
      <c r="A129" s="19" t="s">
        <v>175</v>
      </c>
      <c r="B129" s="72" t="s">
        <v>176</v>
      </c>
      <c r="C129" s="73">
        <v>5119120</v>
      </c>
      <c r="D129" s="74">
        <f t="shared" si="32"/>
        <v>0</v>
      </c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</row>
    <row r="130" spans="1:16" outlineLevel="1" x14ac:dyDescent="0.3">
      <c r="A130" s="19" t="s">
        <v>177</v>
      </c>
      <c r="B130" s="72" t="s">
        <v>178</v>
      </c>
      <c r="C130" s="73">
        <v>5119130</v>
      </c>
      <c r="D130" s="74">
        <f t="shared" si="32"/>
        <v>0</v>
      </c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</row>
    <row r="131" spans="1:16" outlineLevel="1" x14ac:dyDescent="0.3">
      <c r="A131" s="19" t="s">
        <v>179</v>
      </c>
      <c r="B131" s="72" t="s">
        <v>180</v>
      </c>
      <c r="C131" s="73">
        <v>5119140</v>
      </c>
      <c r="D131" s="74">
        <f t="shared" si="32"/>
        <v>0</v>
      </c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</row>
    <row r="132" spans="1:16" s="81" customFormat="1" outlineLevel="1" x14ac:dyDescent="0.3">
      <c r="A132" s="32" t="s">
        <v>181</v>
      </c>
      <c r="B132" s="78" t="s">
        <v>182</v>
      </c>
      <c r="C132" s="79">
        <v>5119150</v>
      </c>
      <c r="D132" s="80">
        <f t="shared" si="32"/>
        <v>3600000</v>
      </c>
      <c r="E132" s="80">
        <v>300000</v>
      </c>
      <c r="F132" s="80">
        <v>300000</v>
      </c>
      <c r="G132" s="80">
        <v>300000</v>
      </c>
      <c r="H132" s="80">
        <v>300000</v>
      </c>
      <c r="I132" s="80">
        <v>300000</v>
      </c>
      <c r="J132" s="80">
        <v>300000</v>
      </c>
      <c r="K132" s="80">
        <v>300000</v>
      </c>
      <c r="L132" s="80">
        <v>300000</v>
      </c>
      <c r="M132" s="80">
        <v>300000</v>
      </c>
      <c r="N132" s="80">
        <v>300000</v>
      </c>
      <c r="O132" s="80">
        <v>300000</v>
      </c>
      <c r="P132" s="80">
        <v>300000</v>
      </c>
    </row>
    <row r="133" spans="1:16" outlineLevel="1" x14ac:dyDescent="0.3">
      <c r="A133" s="19" t="s">
        <v>183</v>
      </c>
      <c r="B133" s="72" t="s">
        <v>184</v>
      </c>
      <c r="C133" s="73">
        <v>5119160</v>
      </c>
      <c r="D133" s="74">
        <f t="shared" si="32"/>
        <v>0</v>
      </c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</row>
    <row r="134" spans="1:16" outlineLevel="1" x14ac:dyDescent="0.3">
      <c r="A134" s="19" t="s">
        <v>185</v>
      </c>
      <c r="B134" s="72" t="s">
        <v>185</v>
      </c>
      <c r="C134" s="73">
        <v>5119121</v>
      </c>
      <c r="D134" s="74">
        <f t="shared" si="32"/>
        <v>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</row>
    <row r="135" spans="1:16" outlineLevel="1" x14ac:dyDescent="0.3">
      <c r="A135" s="19" t="s">
        <v>186</v>
      </c>
      <c r="B135" s="78" t="s">
        <v>187</v>
      </c>
      <c r="C135" s="73">
        <v>5119151</v>
      </c>
      <c r="D135" s="74">
        <f t="shared" si="32"/>
        <v>0</v>
      </c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</row>
    <row r="136" spans="1:16" x14ac:dyDescent="0.3">
      <c r="A136" s="15" t="s">
        <v>188</v>
      </c>
      <c r="B136" s="75" t="s">
        <v>3</v>
      </c>
      <c r="C136" s="76"/>
      <c r="D136" s="77">
        <f t="shared" ref="D136:P136" si="33">SUM(D137:D140)</f>
        <v>6000000</v>
      </c>
      <c r="E136" s="77">
        <f t="shared" si="33"/>
        <v>500000</v>
      </c>
      <c r="F136" s="77">
        <f t="shared" si="33"/>
        <v>500000</v>
      </c>
      <c r="G136" s="77">
        <f t="shared" si="33"/>
        <v>500000</v>
      </c>
      <c r="H136" s="77">
        <f t="shared" si="33"/>
        <v>500000</v>
      </c>
      <c r="I136" s="77">
        <f t="shared" si="33"/>
        <v>500000</v>
      </c>
      <c r="J136" s="77">
        <f t="shared" si="33"/>
        <v>500000</v>
      </c>
      <c r="K136" s="77">
        <f t="shared" si="33"/>
        <v>500000</v>
      </c>
      <c r="L136" s="77">
        <f t="shared" si="33"/>
        <v>500000</v>
      </c>
      <c r="M136" s="77">
        <f t="shared" si="33"/>
        <v>500000</v>
      </c>
      <c r="N136" s="77">
        <f t="shared" si="33"/>
        <v>500000</v>
      </c>
      <c r="O136" s="77">
        <f t="shared" si="33"/>
        <v>500000</v>
      </c>
      <c r="P136" s="77">
        <f t="shared" si="33"/>
        <v>500000</v>
      </c>
    </row>
    <row r="137" spans="1:16" outlineLevel="1" x14ac:dyDescent="0.3">
      <c r="A137" s="19" t="s">
        <v>189</v>
      </c>
      <c r="B137" s="72" t="s">
        <v>190</v>
      </c>
      <c r="C137" s="73">
        <v>5120110</v>
      </c>
      <c r="D137" s="74">
        <f>SUM(E137:P137)</f>
        <v>0</v>
      </c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</row>
    <row r="138" spans="1:16" s="81" customFormat="1" outlineLevel="1" x14ac:dyDescent="0.3">
      <c r="A138" s="83" t="s">
        <v>191</v>
      </c>
      <c r="B138" s="78" t="s">
        <v>190</v>
      </c>
      <c r="C138" s="79">
        <v>5120140</v>
      </c>
      <c r="D138" s="80">
        <f>SUM(E138:P138)</f>
        <v>6000000</v>
      </c>
      <c r="E138" s="80">
        <v>500000</v>
      </c>
      <c r="F138" s="80">
        <v>500000</v>
      </c>
      <c r="G138" s="80">
        <v>500000</v>
      </c>
      <c r="H138" s="80">
        <v>500000</v>
      </c>
      <c r="I138" s="80">
        <v>500000</v>
      </c>
      <c r="J138" s="80">
        <v>500000</v>
      </c>
      <c r="K138" s="80">
        <v>500000</v>
      </c>
      <c r="L138" s="80">
        <v>500000</v>
      </c>
      <c r="M138" s="80">
        <v>500000</v>
      </c>
      <c r="N138" s="80">
        <v>500000</v>
      </c>
      <c r="O138" s="80">
        <v>500000</v>
      </c>
      <c r="P138" s="80">
        <v>500000</v>
      </c>
    </row>
    <row r="139" spans="1:16" outlineLevel="1" x14ac:dyDescent="0.3">
      <c r="A139" s="22" t="s">
        <v>192</v>
      </c>
      <c r="B139" s="72" t="s">
        <v>190</v>
      </c>
      <c r="C139" s="73">
        <v>5120130</v>
      </c>
      <c r="D139" s="74">
        <f>SUM(E139:P139)</f>
        <v>0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</row>
    <row r="140" spans="1:16" outlineLevel="1" x14ac:dyDescent="0.3">
      <c r="A140" s="19" t="s">
        <v>193</v>
      </c>
      <c r="B140" s="72" t="s">
        <v>190</v>
      </c>
      <c r="C140" s="73">
        <v>5120120</v>
      </c>
      <c r="D140" s="74">
        <f>SUM(E140:P140)</f>
        <v>0</v>
      </c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</row>
    <row r="141" spans="1:16" x14ac:dyDescent="0.3">
      <c r="A141" s="15" t="s">
        <v>194</v>
      </c>
      <c r="B141" s="75" t="s">
        <v>3</v>
      </c>
      <c r="C141" s="76"/>
      <c r="D141" s="77">
        <f t="shared" ref="D141:P141" si="34">SUM(D142:D145)</f>
        <v>12000000</v>
      </c>
      <c r="E141" s="77">
        <f t="shared" si="34"/>
        <v>1000000</v>
      </c>
      <c r="F141" s="77">
        <f t="shared" si="34"/>
        <v>1000000</v>
      </c>
      <c r="G141" s="77">
        <f t="shared" si="34"/>
        <v>1000000</v>
      </c>
      <c r="H141" s="77">
        <f t="shared" si="34"/>
        <v>1000000</v>
      </c>
      <c r="I141" s="77">
        <f t="shared" si="34"/>
        <v>1000000</v>
      </c>
      <c r="J141" s="77">
        <f t="shared" si="34"/>
        <v>1000000</v>
      </c>
      <c r="K141" s="77">
        <f t="shared" si="34"/>
        <v>1000000</v>
      </c>
      <c r="L141" s="77">
        <f t="shared" si="34"/>
        <v>1000000</v>
      </c>
      <c r="M141" s="77">
        <f t="shared" si="34"/>
        <v>1000000</v>
      </c>
      <c r="N141" s="77">
        <f t="shared" si="34"/>
        <v>1000000</v>
      </c>
      <c r="O141" s="77">
        <f t="shared" si="34"/>
        <v>1000000</v>
      </c>
      <c r="P141" s="77">
        <f t="shared" si="34"/>
        <v>1000000</v>
      </c>
    </row>
    <row r="142" spans="1:16" outlineLevel="1" x14ac:dyDescent="0.3">
      <c r="A142" s="19" t="s">
        <v>195</v>
      </c>
      <c r="B142" s="72" t="s">
        <v>195</v>
      </c>
      <c r="C142" s="73">
        <v>5121110</v>
      </c>
      <c r="D142" s="74">
        <f>SUM(E142:P142)</f>
        <v>0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</row>
    <row r="143" spans="1:16" outlineLevel="1" x14ac:dyDescent="0.3">
      <c r="A143" s="19" t="s">
        <v>196</v>
      </c>
      <c r="B143" s="72" t="s">
        <v>196</v>
      </c>
      <c r="C143" s="73">
        <v>5121120</v>
      </c>
      <c r="D143" s="74">
        <f>SUM(E143:P143)</f>
        <v>0</v>
      </c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</row>
    <row r="144" spans="1:16" outlineLevel="1" x14ac:dyDescent="0.3">
      <c r="A144" s="19" t="s">
        <v>197</v>
      </c>
      <c r="B144" s="72" t="s">
        <v>197</v>
      </c>
      <c r="C144" s="73">
        <v>5121140</v>
      </c>
      <c r="D144" s="74">
        <f>SUM(E144:P144)</f>
        <v>0</v>
      </c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</row>
    <row r="145" spans="1:16" s="81" customFormat="1" outlineLevel="1" x14ac:dyDescent="0.3">
      <c r="A145" s="32" t="s">
        <v>198</v>
      </c>
      <c r="B145" s="78" t="s">
        <v>199</v>
      </c>
      <c r="C145" s="79">
        <v>5121150</v>
      </c>
      <c r="D145" s="80">
        <f>SUM(E145:P145)</f>
        <v>12000000</v>
      </c>
      <c r="E145" s="80">
        <v>1000000</v>
      </c>
      <c r="F145" s="80">
        <v>1000000</v>
      </c>
      <c r="G145" s="80">
        <v>1000000</v>
      </c>
      <c r="H145" s="80">
        <v>1000000</v>
      </c>
      <c r="I145" s="80">
        <v>1000000</v>
      </c>
      <c r="J145" s="80">
        <v>1000000</v>
      </c>
      <c r="K145" s="80">
        <v>1000000</v>
      </c>
      <c r="L145" s="80">
        <v>1000000</v>
      </c>
      <c r="M145" s="80">
        <v>1000000</v>
      </c>
      <c r="N145" s="80">
        <v>1000000</v>
      </c>
      <c r="O145" s="80">
        <v>1000000</v>
      </c>
      <c r="P145" s="80">
        <v>1000000</v>
      </c>
    </row>
    <row r="146" spans="1:16" x14ac:dyDescent="0.3">
      <c r="A146" s="15" t="s">
        <v>200</v>
      </c>
      <c r="B146" s="75" t="s">
        <v>3</v>
      </c>
      <c r="C146" s="76"/>
      <c r="D146" s="77">
        <f t="shared" ref="D146:P146" si="35">SUM(D147:D150)</f>
        <v>0</v>
      </c>
      <c r="E146" s="77">
        <f t="shared" si="35"/>
        <v>0</v>
      </c>
      <c r="F146" s="77">
        <f t="shared" si="35"/>
        <v>0</v>
      </c>
      <c r="G146" s="77">
        <f t="shared" si="35"/>
        <v>0</v>
      </c>
      <c r="H146" s="77">
        <f t="shared" si="35"/>
        <v>0</v>
      </c>
      <c r="I146" s="77">
        <f t="shared" si="35"/>
        <v>0</v>
      </c>
      <c r="J146" s="77">
        <f t="shared" si="35"/>
        <v>0</v>
      </c>
      <c r="K146" s="77">
        <f t="shared" si="35"/>
        <v>0</v>
      </c>
      <c r="L146" s="77">
        <f t="shared" si="35"/>
        <v>0</v>
      </c>
      <c r="M146" s="77">
        <f t="shared" si="35"/>
        <v>0</v>
      </c>
      <c r="N146" s="77">
        <f t="shared" si="35"/>
        <v>0</v>
      </c>
      <c r="O146" s="77">
        <f t="shared" si="35"/>
        <v>0</v>
      </c>
      <c r="P146" s="77">
        <f t="shared" si="35"/>
        <v>0</v>
      </c>
    </row>
    <row r="147" spans="1:16" outlineLevel="1" x14ac:dyDescent="0.3">
      <c r="A147" s="19" t="s">
        <v>201</v>
      </c>
      <c r="B147" s="72" t="s">
        <v>202</v>
      </c>
      <c r="C147" s="73">
        <v>5122110</v>
      </c>
      <c r="D147" s="74">
        <f>SUM(E147:P147)</f>
        <v>0</v>
      </c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</row>
    <row r="148" spans="1:16" outlineLevel="1" x14ac:dyDescent="0.3">
      <c r="A148" s="19" t="s">
        <v>203</v>
      </c>
      <c r="B148" s="72" t="s">
        <v>204</v>
      </c>
      <c r="C148" s="73">
        <v>5122120</v>
      </c>
      <c r="D148" s="74">
        <f>SUM(E148:P148)</f>
        <v>0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</row>
    <row r="149" spans="1:16" outlineLevel="1" x14ac:dyDescent="0.3">
      <c r="A149" s="22" t="s">
        <v>205</v>
      </c>
      <c r="B149" s="72" t="s">
        <v>206</v>
      </c>
      <c r="C149" s="73">
        <v>5122130</v>
      </c>
      <c r="D149" s="74">
        <f>SUM(E149:P149)</f>
        <v>0</v>
      </c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</row>
    <row r="150" spans="1:16" outlineLevel="1" x14ac:dyDescent="0.3">
      <c r="A150" s="19" t="s">
        <v>207</v>
      </c>
      <c r="B150" s="72" t="s">
        <v>208</v>
      </c>
      <c r="C150" s="73">
        <v>5122140</v>
      </c>
      <c r="D150" s="74">
        <f>SUM(E150:P150)</f>
        <v>0</v>
      </c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</row>
    <row r="151" spans="1:16" x14ac:dyDescent="0.3">
      <c r="A151" s="15" t="s">
        <v>209</v>
      </c>
      <c r="B151" s="75" t="s">
        <v>3</v>
      </c>
      <c r="C151" s="76"/>
      <c r="D151" s="77">
        <f t="shared" ref="D151:P151" si="36">SUM(D152:D154)</f>
        <v>0</v>
      </c>
      <c r="E151" s="77">
        <f t="shared" si="36"/>
        <v>0</v>
      </c>
      <c r="F151" s="77">
        <f t="shared" si="36"/>
        <v>0</v>
      </c>
      <c r="G151" s="77">
        <f t="shared" si="36"/>
        <v>0</v>
      </c>
      <c r="H151" s="77">
        <f t="shared" si="36"/>
        <v>0</v>
      </c>
      <c r="I151" s="77">
        <f t="shared" si="36"/>
        <v>0</v>
      </c>
      <c r="J151" s="77">
        <f t="shared" si="36"/>
        <v>0</v>
      </c>
      <c r="K151" s="77">
        <f t="shared" si="36"/>
        <v>0</v>
      </c>
      <c r="L151" s="77">
        <f t="shared" si="36"/>
        <v>0</v>
      </c>
      <c r="M151" s="77">
        <f t="shared" si="36"/>
        <v>0</v>
      </c>
      <c r="N151" s="77">
        <f t="shared" si="36"/>
        <v>0</v>
      </c>
      <c r="O151" s="77">
        <f t="shared" si="36"/>
        <v>0</v>
      </c>
      <c r="P151" s="77">
        <f t="shared" si="36"/>
        <v>0</v>
      </c>
    </row>
    <row r="152" spans="1:16" outlineLevel="1" x14ac:dyDescent="0.3">
      <c r="A152" s="19" t="s">
        <v>210</v>
      </c>
      <c r="B152" s="72" t="s">
        <v>211</v>
      </c>
      <c r="C152" s="73">
        <v>5123110</v>
      </c>
      <c r="D152" s="74">
        <f>SUM(E152:P152)</f>
        <v>0</v>
      </c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</row>
    <row r="153" spans="1:16" outlineLevel="1" x14ac:dyDescent="0.3">
      <c r="A153" s="19" t="s">
        <v>212</v>
      </c>
      <c r="B153" s="72" t="s">
        <v>213</v>
      </c>
      <c r="C153" s="73">
        <v>5123120</v>
      </c>
      <c r="D153" s="74">
        <f>SUM(E153:P153)</f>
        <v>0</v>
      </c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</row>
    <row r="154" spans="1:16" outlineLevel="1" x14ac:dyDescent="0.3">
      <c r="A154" s="34" t="s">
        <v>214</v>
      </c>
      <c r="B154" s="84" t="s">
        <v>215</v>
      </c>
      <c r="C154" s="85">
        <v>5123130</v>
      </c>
      <c r="D154" s="86">
        <f>SUM(E154:P154)</f>
        <v>0</v>
      </c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F16E-7B08-430B-AAFF-DB310C889A16}">
  <sheetPr>
    <tabColor theme="4" tint="0.79998168889431442"/>
  </sheetPr>
  <dimension ref="A1:Q154"/>
  <sheetViews>
    <sheetView zoomScale="85" zoomScaleNormal="85" workbookViewId="0">
      <pane xSplit="3" ySplit="3" topLeftCell="D4" activePane="bottomRight" state="frozen"/>
      <selection activeCell="A40" sqref="A40"/>
      <selection pane="topRight" activeCell="A40" sqref="A40"/>
      <selection pane="bottomLeft" activeCell="A40" sqref="A40"/>
      <selection pane="bottomRight" activeCell="M21" sqref="M21"/>
    </sheetView>
  </sheetViews>
  <sheetFormatPr defaultColWidth="9" defaultRowHeight="16.5" outlineLevelRow="1" outlineLevelCol="1" x14ac:dyDescent="0.3"/>
  <cols>
    <col min="1" max="1" width="41" style="66" customWidth="1"/>
    <col min="2" max="2" width="27.75" style="66" customWidth="1" outlineLevel="1"/>
    <col min="3" max="3" width="9.25" style="67" customWidth="1" outlineLevel="1"/>
    <col min="4" max="4" width="14.25" style="66" bestFit="1" customWidth="1"/>
    <col min="5" max="16" width="14.25" style="66" customWidth="1" outlineLevel="1"/>
    <col min="18" max="16384" width="9" style="66"/>
  </cols>
  <sheetData>
    <row r="1" spans="1:16" x14ac:dyDescent="0.3">
      <c r="A1" s="87" t="s">
        <v>231</v>
      </c>
    </row>
    <row r="2" spans="1:16" x14ac:dyDescent="0.3">
      <c r="A2" s="3" t="s">
        <v>232</v>
      </c>
    </row>
    <row r="3" spans="1:16" x14ac:dyDescent="0.3">
      <c r="A3" s="4" t="s">
        <v>0</v>
      </c>
      <c r="B3" s="4" t="s">
        <v>1</v>
      </c>
      <c r="C3" s="5" t="s">
        <v>2</v>
      </c>
      <c r="D3" s="6">
        <v>2026</v>
      </c>
      <c r="E3" s="6">
        <v>2026.01</v>
      </c>
      <c r="F3" s="6">
        <v>2026.02</v>
      </c>
      <c r="G3" s="6">
        <v>2026.03</v>
      </c>
      <c r="H3" s="6">
        <v>2026.04</v>
      </c>
      <c r="I3" s="6">
        <v>2026.05</v>
      </c>
      <c r="J3" s="6">
        <v>2026.06</v>
      </c>
      <c r="K3" s="6">
        <v>2026.07</v>
      </c>
      <c r="L3" s="6">
        <v>2026.08</v>
      </c>
      <c r="M3" s="6">
        <v>2026.09</v>
      </c>
      <c r="N3" s="44">
        <v>2026.1</v>
      </c>
      <c r="O3" s="6">
        <v>2026.11</v>
      </c>
      <c r="P3" s="6">
        <v>2026.12</v>
      </c>
    </row>
    <row r="4" spans="1:16" x14ac:dyDescent="0.3">
      <c r="A4" s="7" t="s">
        <v>4</v>
      </c>
      <c r="B4" s="69" t="s">
        <v>3</v>
      </c>
      <c r="C4" s="70"/>
      <c r="D4" s="71">
        <f t="shared" ref="D4:P4" si="0">D5+D24+D30+D38+D46+D57+D66+D78+D85+D93+D96+D106+D108+D116+D118+D124+D127+D136+D141+D146+D151</f>
        <v>782046892</v>
      </c>
      <c r="E4" s="71">
        <f t="shared" si="0"/>
        <v>12453907</v>
      </c>
      <c r="F4" s="71">
        <f t="shared" si="0"/>
        <v>12453907</v>
      </c>
      <c r="G4" s="71">
        <f t="shared" si="0"/>
        <v>160603909</v>
      </c>
      <c r="H4" s="71">
        <f t="shared" si="0"/>
        <v>12453907</v>
      </c>
      <c r="I4" s="71">
        <f t="shared" si="0"/>
        <v>12453907</v>
      </c>
      <c r="J4" s="71">
        <f t="shared" si="0"/>
        <v>160603909</v>
      </c>
      <c r="K4" s="71">
        <f t="shared" si="0"/>
        <v>12453907</v>
      </c>
      <c r="L4" s="71">
        <f t="shared" si="0"/>
        <v>12453907</v>
      </c>
      <c r="M4" s="71">
        <f t="shared" si="0"/>
        <v>160603909</v>
      </c>
      <c r="N4" s="71">
        <f t="shared" si="0"/>
        <v>12453907</v>
      </c>
      <c r="O4" s="71">
        <f t="shared" si="0"/>
        <v>12453907</v>
      </c>
      <c r="P4" s="71">
        <f t="shared" si="0"/>
        <v>200603909</v>
      </c>
    </row>
    <row r="5" spans="1:16" x14ac:dyDescent="0.3">
      <c r="A5" s="15" t="s">
        <v>5</v>
      </c>
      <c r="B5" s="75" t="s">
        <v>3</v>
      </c>
      <c r="C5" s="76"/>
      <c r="D5" s="77">
        <f t="shared" ref="D5:P5" si="1">SUM(D6:D23)</f>
        <v>119328228</v>
      </c>
      <c r="E5" s="77">
        <f t="shared" si="1"/>
        <v>9394019</v>
      </c>
      <c r="F5" s="77">
        <f t="shared" si="1"/>
        <v>9394019</v>
      </c>
      <c r="G5" s="77">
        <f t="shared" si="1"/>
        <v>11044019</v>
      </c>
      <c r="H5" s="77">
        <f t="shared" si="1"/>
        <v>9394019</v>
      </c>
      <c r="I5" s="77">
        <f t="shared" si="1"/>
        <v>9394019</v>
      </c>
      <c r="J5" s="77">
        <f t="shared" si="1"/>
        <v>11044019</v>
      </c>
      <c r="K5" s="77">
        <f t="shared" si="1"/>
        <v>9394019</v>
      </c>
      <c r="L5" s="77">
        <f t="shared" si="1"/>
        <v>9394019</v>
      </c>
      <c r="M5" s="77">
        <f t="shared" si="1"/>
        <v>11044019</v>
      </c>
      <c r="N5" s="77">
        <f t="shared" si="1"/>
        <v>9394019</v>
      </c>
      <c r="O5" s="77">
        <f t="shared" si="1"/>
        <v>9394019</v>
      </c>
      <c r="P5" s="77">
        <f t="shared" si="1"/>
        <v>11044019</v>
      </c>
    </row>
    <row r="6" spans="1:16" outlineLevel="1" x14ac:dyDescent="0.3">
      <c r="A6" s="19" t="s">
        <v>6</v>
      </c>
      <c r="B6" s="72" t="s">
        <v>7</v>
      </c>
      <c r="C6" s="73">
        <v>5103260</v>
      </c>
      <c r="D6" s="74">
        <f t="shared" ref="D6:D23" si="2">SUM(E6:P6)</f>
        <v>0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1:16" outlineLevel="1" x14ac:dyDescent="0.3">
      <c r="A7" s="19" t="s">
        <v>8</v>
      </c>
      <c r="B7" s="72" t="s">
        <v>9</v>
      </c>
      <c r="C7" s="73">
        <v>5103250</v>
      </c>
      <c r="D7" s="74">
        <f t="shared" si="2"/>
        <v>0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 spans="1:16" outlineLevel="1" x14ac:dyDescent="0.3">
      <c r="A8" s="19" t="s">
        <v>10</v>
      </c>
      <c r="B8" s="72" t="s">
        <v>11</v>
      </c>
      <c r="C8" s="73">
        <v>5103240</v>
      </c>
      <c r="D8" s="74">
        <f t="shared" si="2"/>
        <v>0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</row>
    <row r="9" spans="1:16" outlineLevel="1" x14ac:dyDescent="0.3">
      <c r="A9" s="19" t="s">
        <v>12</v>
      </c>
      <c r="B9" s="72" t="s">
        <v>13</v>
      </c>
      <c r="C9" s="73">
        <v>5103230</v>
      </c>
      <c r="D9" s="74">
        <f t="shared" si="2"/>
        <v>0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1:16" outlineLevel="1" x14ac:dyDescent="0.3">
      <c r="A10" s="19" t="s">
        <v>14</v>
      </c>
      <c r="B10" s="72" t="s">
        <v>15</v>
      </c>
      <c r="C10" s="73">
        <v>5103220</v>
      </c>
      <c r="D10" s="74">
        <f t="shared" si="2"/>
        <v>0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</row>
    <row r="11" spans="1:16" s="81" customFormat="1" outlineLevel="1" x14ac:dyDescent="0.3">
      <c r="A11" s="32" t="s">
        <v>16</v>
      </c>
      <c r="B11" s="78" t="s">
        <v>16</v>
      </c>
      <c r="C11" s="79">
        <v>5103210</v>
      </c>
      <c r="D11" s="80">
        <f t="shared" si="2"/>
        <v>840000</v>
      </c>
      <c r="E11" s="80"/>
      <c r="F11" s="80"/>
      <c r="G11" s="80">
        <v>210000</v>
      </c>
      <c r="H11" s="80"/>
      <c r="I11" s="80"/>
      <c r="J11" s="80">
        <v>210000</v>
      </c>
      <c r="K11" s="80"/>
      <c r="L11" s="80"/>
      <c r="M11" s="80">
        <v>210000</v>
      </c>
      <c r="N11" s="80"/>
      <c r="O11" s="80"/>
      <c r="P11" s="80">
        <v>210000</v>
      </c>
    </row>
    <row r="12" spans="1:16" s="81" customFormat="1" outlineLevel="1" x14ac:dyDescent="0.3">
      <c r="A12" s="32" t="s">
        <v>17</v>
      </c>
      <c r="B12" s="78" t="s">
        <v>18</v>
      </c>
      <c r="C12" s="79">
        <v>5103190</v>
      </c>
      <c r="D12" s="80">
        <f t="shared" si="2"/>
        <v>1429632</v>
      </c>
      <c r="E12" s="80">
        <v>119136</v>
      </c>
      <c r="F12" s="80">
        <f>E12</f>
        <v>119136</v>
      </c>
      <c r="G12" s="80">
        <f t="shared" ref="G12:P12" si="3">F12</f>
        <v>119136</v>
      </c>
      <c r="H12" s="80">
        <f t="shared" si="3"/>
        <v>119136</v>
      </c>
      <c r="I12" s="80">
        <f t="shared" si="3"/>
        <v>119136</v>
      </c>
      <c r="J12" s="80">
        <f t="shared" si="3"/>
        <v>119136</v>
      </c>
      <c r="K12" s="80">
        <f t="shared" si="3"/>
        <v>119136</v>
      </c>
      <c r="L12" s="80">
        <f t="shared" si="3"/>
        <v>119136</v>
      </c>
      <c r="M12" s="80">
        <f t="shared" si="3"/>
        <v>119136</v>
      </c>
      <c r="N12" s="80">
        <f t="shared" si="3"/>
        <v>119136</v>
      </c>
      <c r="O12" s="80">
        <f t="shared" si="3"/>
        <v>119136</v>
      </c>
      <c r="P12" s="80">
        <f t="shared" si="3"/>
        <v>119136</v>
      </c>
    </row>
    <row r="13" spans="1:16" outlineLevel="1" x14ac:dyDescent="0.3">
      <c r="A13" s="19" t="s">
        <v>19</v>
      </c>
      <c r="B13" s="72" t="s">
        <v>20</v>
      </c>
      <c r="C13" s="73">
        <v>5103180</v>
      </c>
      <c r="D13" s="74">
        <f t="shared" si="2"/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1:16" outlineLevel="1" x14ac:dyDescent="0.3">
      <c r="A14" s="19" t="s">
        <v>21</v>
      </c>
      <c r="B14" s="72" t="s">
        <v>22</v>
      </c>
      <c r="C14" s="73">
        <v>5103170</v>
      </c>
      <c r="D14" s="74">
        <f t="shared" si="2"/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  <row r="15" spans="1:16" outlineLevel="1" x14ac:dyDescent="0.3">
      <c r="A15" s="19" t="s">
        <v>23</v>
      </c>
      <c r="B15" s="72" t="s">
        <v>24</v>
      </c>
      <c r="C15" s="73">
        <v>5103160</v>
      </c>
      <c r="D15" s="74">
        <f t="shared" si="2"/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</row>
    <row r="16" spans="1:16" outlineLevel="1" x14ac:dyDescent="0.3">
      <c r="A16" s="19" t="s">
        <v>25</v>
      </c>
      <c r="B16" s="72" t="s">
        <v>26</v>
      </c>
      <c r="C16" s="73">
        <v>5103150</v>
      </c>
      <c r="D16" s="74">
        <f t="shared" si="2"/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</row>
    <row r="17" spans="1:16" outlineLevel="1" x14ac:dyDescent="0.3">
      <c r="A17" s="19" t="s">
        <v>27</v>
      </c>
      <c r="B17" s="72" t="s">
        <v>28</v>
      </c>
      <c r="C17" s="73">
        <v>5103140</v>
      </c>
      <c r="D17" s="74">
        <f t="shared" si="2"/>
        <v>0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</row>
    <row r="18" spans="1:16" outlineLevel="1" x14ac:dyDescent="0.3">
      <c r="A18" s="19" t="s">
        <v>29</v>
      </c>
      <c r="B18" s="72" t="s">
        <v>3</v>
      </c>
      <c r="C18" s="73">
        <v>5103130</v>
      </c>
      <c r="D18" s="74">
        <f t="shared" si="2"/>
        <v>0</v>
      </c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</row>
    <row r="19" spans="1:16" outlineLevel="1" x14ac:dyDescent="0.3">
      <c r="A19" s="19" t="s">
        <v>30</v>
      </c>
      <c r="B19" s="72" t="s">
        <v>31</v>
      </c>
      <c r="C19" s="73">
        <v>5103120</v>
      </c>
      <c r="D19" s="74">
        <f t="shared" si="2"/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</row>
    <row r="20" spans="1:16" outlineLevel="1" x14ac:dyDescent="0.3">
      <c r="A20" s="19" t="s">
        <v>32</v>
      </c>
      <c r="B20" s="72" t="s">
        <v>33</v>
      </c>
      <c r="C20" s="73">
        <v>5103110</v>
      </c>
      <c r="D20" s="74">
        <f t="shared" si="2"/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</row>
    <row r="21" spans="1:16" s="81" customFormat="1" outlineLevel="1" x14ac:dyDescent="0.3">
      <c r="A21" s="32" t="s">
        <v>34</v>
      </c>
      <c r="B21" s="78" t="s">
        <v>18</v>
      </c>
      <c r="C21" s="79">
        <v>5103270</v>
      </c>
      <c r="D21" s="80">
        <f t="shared" si="2"/>
        <v>111298596</v>
      </c>
      <c r="E21" s="80">
        <v>9274883</v>
      </c>
      <c r="F21" s="80">
        <f>E21</f>
        <v>9274883</v>
      </c>
      <c r="G21" s="80">
        <f t="shared" ref="G21:P21" si="4">F21</f>
        <v>9274883</v>
      </c>
      <c r="H21" s="80">
        <f t="shared" si="4"/>
        <v>9274883</v>
      </c>
      <c r="I21" s="80">
        <f t="shared" si="4"/>
        <v>9274883</v>
      </c>
      <c r="J21" s="80">
        <f t="shared" si="4"/>
        <v>9274883</v>
      </c>
      <c r="K21" s="80">
        <f t="shared" si="4"/>
        <v>9274883</v>
      </c>
      <c r="L21" s="80">
        <f t="shared" si="4"/>
        <v>9274883</v>
      </c>
      <c r="M21" s="80">
        <f t="shared" si="4"/>
        <v>9274883</v>
      </c>
      <c r="N21" s="80">
        <f t="shared" si="4"/>
        <v>9274883</v>
      </c>
      <c r="O21" s="80">
        <f t="shared" si="4"/>
        <v>9274883</v>
      </c>
      <c r="P21" s="80">
        <f t="shared" si="4"/>
        <v>9274883</v>
      </c>
    </row>
    <row r="22" spans="1:16" s="81" customFormat="1" outlineLevel="1" x14ac:dyDescent="0.3">
      <c r="A22" s="32" t="s">
        <v>35</v>
      </c>
      <c r="B22" s="78" t="s">
        <v>35</v>
      </c>
      <c r="C22" s="79">
        <v>5103111</v>
      </c>
      <c r="D22" s="80">
        <f t="shared" si="2"/>
        <v>0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</row>
    <row r="23" spans="1:16" s="81" customFormat="1" outlineLevel="1" x14ac:dyDescent="0.3">
      <c r="A23" s="32" t="s">
        <v>36</v>
      </c>
      <c r="B23" s="78" t="s">
        <v>36</v>
      </c>
      <c r="C23" s="79">
        <v>5103131</v>
      </c>
      <c r="D23" s="80">
        <f t="shared" si="2"/>
        <v>5760000</v>
      </c>
      <c r="E23" s="80"/>
      <c r="F23" s="80"/>
      <c r="G23" s="80">
        <v>1440000</v>
      </c>
      <c r="H23" s="80"/>
      <c r="I23" s="80"/>
      <c r="J23" s="80">
        <v>1440000</v>
      </c>
      <c r="K23" s="80"/>
      <c r="L23" s="80"/>
      <c r="M23" s="80">
        <v>1440000</v>
      </c>
      <c r="N23" s="80"/>
      <c r="O23" s="80"/>
      <c r="P23" s="80">
        <v>1440000</v>
      </c>
    </row>
    <row r="24" spans="1:16" x14ac:dyDescent="0.3">
      <c r="A24" s="15" t="s">
        <v>37</v>
      </c>
      <c r="B24" s="75" t="s">
        <v>3</v>
      </c>
      <c r="C24" s="76"/>
      <c r="D24" s="77">
        <f t="shared" ref="D24:P24" si="5">SUM(D25:D29)</f>
        <v>5400008</v>
      </c>
      <c r="E24" s="77">
        <f t="shared" si="5"/>
        <v>450000</v>
      </c>
      <c r="F24" s="77">
        <f t="shared" si="5"/>
        <v>450000</v>
      </c>
      <c r="G24" s="77">
        <f t="shared" si="5"/>
        <v>450002</v>
      </c>
      <c r="H24" s="77">
        <f t="shared" si="5"/>
        <v>450000</v>
      </c>
      <c r="I24" s="77">
        <f t="shared" si="5"/>
        <v>450000</v>
      </c>
      <c r="J24" s="77">
        <f t="shared" si="5"/>
        <v>450002</v>
      </c>
      <c r="K24" s="77">
        <f t="shared" si="5"/>
        <v>450000</v>
      </c>
      <c r="L24" s="77">
        <f t="shared" si="5"/>
        <v>450000</v>
      </c>
      <c r="M24" s="77">
        <f t="shared" si="5"/>
        <v>450002</v>
      </c>
      <c r="N24" s="77">
        <f t="shared" si="5"/>
        <v>450000</v>
      </c>
      <c r="O24" s="77">
        <f t="shared" si="5"/>
        <v>450000</v>
      </c>
      <c r="P24" s="77">
        <f t="shared" si="5"/>
        <v>450002</v>
      </c>
    </row>
    <row r="25" spans="1:16" outlineLevel="1" x14ac:dyDescent="0.3">
      <c r="A25" s="19" t="s">
        <v>38</v>
      </c>
      <c r="B25" s="72" t="s">
        <v>39</v>
      </c>
      <c r="C25" s="73">
        <v>5104110</v>
      </c>
      <c r="D25" s="74">
        <f>SUM(E25:P25)</f>
        <v>4</v>
      </c>
      <c r="E25" s="74"/>
      <c r="F25" s="74"/>
      <c r="G25" s="74">
        <v>1</v>
      </c>
      <c r="H25" s="74"/>
      <c r="I25" s="74"/>
      <c r="J25" s="74">
        <v>1</v>
      </c>
      <c r="K25" s="74"/>
      <c r="L25" s="74"/>
      <c r="M25" s="74">
        <v>1</v>
      </c>
      <c r="N25" s="74"/>
      <c r="O25" s="74"/>
      <c r="P25" s="74">
        <v>1</v>
      </c>
    </row>
    <row r="26" spans="1:16" s="81" customFormat="1" outlineLevel="1" x14ac:dyDescent="0.3">
      <c r="A26" s="32" t="s">
        <v>40</v>
      </c>
      <c r="B26" s="78" t="s">
        <v>41</v>
      </c>
      <c r="C26" s="79">
        <v>5104120</v>
      </c>
      <c r="D26" s="80">
        <f>SUM(E26:P26)</f>
        <v>4800000</v>
      </c>
      <c r="E26" s="80">
        <v>400000</v>
      </c>
      <c r="F26" s="80">
        <v>400000</v>
      </c>
      <c r="G26" s="80">
        <v>400000</v>
      </c>
      <c r="H26" s="80">
        <v>400000</v>
      </c>
      <c r="I26" s="80">
        <v>400000</v>
      </c>
      <c r="J26" s="80">
        <v>400000</v>
      </c>
      <c r="K26" s="80">
        <v>400000</v>
      </c>
      <c r="L26" s="80">
        <v>400000</v>
      </c>
      <c r="M26" s="80">
        <v>400000</v>
      </c>
      <c r="N26" s="80">
        <v>400000</v>
      </c>
      <c r="O26" s="80">
        <v>400000</v>
      </c>
      <c r="P26" s="80">
        <v>400000</v>
      </c>
    </row>
    <row r="27" spans="1:16" s="81" customFormat="1" outlineLevel="1" x14ac:dyDescent="0.3">
      <c r="A27" s="32" t="s">
        <v>42</v>
      </c>
      <c r="B27" s="78" t="s">
        <v>43</v>
      </c>
      <c r="C27" s="79">
        <v>5104130</v>
      </c>
      <c r="D27" s="80">
        <f>SUM(E27:P27)</f>
        <v>600000</v>
      </c>
      <c r="E27" s="80">
        <v>50000</v>
      </c>
      <c r="F27" s="80">
        <v>50000</v>
      </c>
      <c r="G27" s="80">
        <v>50000</v>
      </c>
      <c r="H27" s="80">
        <v>50000</v>
      </c>
      <c r="I27" s="80">
        <v>50000</v>
      </c>
      <c r="J27" s="80">
        <v>50000</v>
      </c>
      <c r="K27" s="80">
        <v>50000</v>
      </c>
      <c r="L27" s="80">
        <v>50000</v>
      </c>
      <c r="M27" s="80">
        <v>50000</v>
      </c>
      <c r="N27" s="80">
        <v>50000</v>
      </c>
      <c r="O27" s="80">
        <v>50000</v>
      </c>
      <c r="P27" s="80">
        <v>50000</v>
      </c>
    </row>
    <row r="28" spans="1:16" outlineLevel="1" x14ac:dyDescent="0.3">
      <c r="A28" s="19" t="s">
        <v>44</v>
      </c>
      <c r="B28" s="72" t="s">
        <v>45</v>
      </c>
      <c r="C28" s="73">
        <v>5104140</v>
      </c>
      <c r="D28" s="74">
        <f>SUM(E28:P28)</f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spans="1:16" outlineLevel="1" x14ac:dyDescent="0.3">
      <c r="A29" s="19" t="s">
        <v>46</v>
      </c>
      <c r="B29" s="72" t="s">
        <v>46</v>
      </c>
      <c r="C29" s="73">
        <v>5104150</v>
      </c>
      <c r="D29" s="74">
        <f>SUM(E29:P29)</f>
        <v>4</v>
      </c>
      <c r="E29" s="74"/>
      <c r="F29" s="74"/>
      <c r="G29" s="74">
        <v>1</v>
      </c>
      <c r="H29" s="74"/>
      <c r="I29" s="74"/>
      <c r="J29" s="74">
        <v>1</v>
      </c>
      <c r="K29" s="74"/>
      <c r="L29" s="74"/>
      <c r="M29" s="74">
        <v>1</v>
      </c>
      <c r="N29" s="74"/>
      <c r="O29" s="74"/>
      <c r="P29" s="74">
        <v>1</v>
      </c>
    </row>
    <row r="30" spans="1:16" x14ac:dyDescent="0.3">
      <c r="A30" s="15" t="s">
        <v>47</v>
      </c>
      <c r="B30" s="75" t="s">
        <v>3</v>
      </c>
      <c r="C30" s="76"/>
      <c r="D30" s="77">
        <f t="shared" ref="D30:P30" si="6">SUM(D31:D37)</f>
        <v>0</v>
      </c>
      <c r="E30" s="77">
        <f t="shared" si="6"/>
        <v>0</v>
      </c>
      <c r="F30" s="77">
        <f t="shared" si="6"/>
        <v>0</v>
      </c>
      <c r="G30" s="77">
        <f t="shared" si="6"/>
        <v>0</v>
      </c>
      <c r="H30" s="77">
        <f t="shared" si="6"/>
        <v>0</v>
      </c>
      <c r="I30" s="77">
        <f t="shared" si="6"/>
        <v>0</v>
      </c>
      <c r="J30" s="77">
        <f t="shared" si="6"/>
        <v>0</v>
      </c>
      <c r="K30" s="77">
        <f t="shared" si="6"/>
        <v>0</v>
      </c>
      <c r="L30" s="77">
        <f t="shared" si="6"/>
        <v>0</v>
      </c>
      <c r="M30" s="77">
        <f t="shared" si="6"/>
        <v>0</v>
      </c>
      <c r="N30" s="77">
        <f t="shared" si="6"/>
        <v>0</v>
      </c>
      <c r="O30" s="77">
        <f t="shared" si="6"/>
        <v>0</v>
      </c>
      <c r="P30" s="77">
        <f t="shared" si="6"/>
        <v>0</v>
      </c>
    </row>
    <row r="31" spans="1:16" outlineLevel="1" x14ac:dyDescent="0.3">
      <c r="A31" s="19" t="s">
        <v>48</v>
      </c>
      <c r="B31" s="72" t="s">
        <v>49</v>
      </c>
      <c r="C31" s="73">
        <v>5105160</v>
      </c>
      <c r="D31" s="74">
        <f t="shared" ref="D31:D37" si="7">SUM(E31:P31)</f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1:16" outlineLevel="1" x14ac:dyDescent="0.3">
      <c r="A32" s="19" t="s">
        <v>50</v>
      </c>
      <c r="B32" s="72" t="s">
        <v>49</v>
      </c>
      <c r="C32" s="73">
        <v>5105150</v>
      </c>
      <c r="D32" s="74">
        <f t="shared" si="7"/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</row>
    <row r="33" spans="1:16" outlineLevel="1" x14ac:dyDescent="0.3">
      <c r="A33" s="19" t="s">
        <v>51</v>
      </c>
      <c r="B33" s="72" t="s">
        <v>52</v>
      </c>
      <c r="C33" s="73">
        <v>5105140</v>
      </c>
      <c r="D33" s="74">
        <f t="shared" si="7"/>
        <v>0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</row>
    <row r="34" spans="1:16" outlineLevel="1" x14ac:dyDescent="0.3">
      <c r="A34" s="19" t="s">
        <v>53</v>
      </c>
      <c r="B34" s="72" t="s">
        <v>49</v>
      </c>
      <c r="C34" s="73">
        <v>5105130</v>
      </c>
      <c r="D34" s="74">
        <f t="shared" si="7"/>
        <v>0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</row>
    <row r="35" spans="1:16" outlineLevel="1" x14ac:dyDescent="0.3">
      <c r="A35" s="19" t="s">
        <v>54</v>
      </c>
      <c r="B35" s="72" t="s">
        <v>49</v>
      </c>
      <c r="C35" s="73">
        <v>5105120</v>
      </c>
      <c r="D35" s="74">
        <f t="shared" si="7"/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</row>
    <row r="36" spans="1:16" outlineLevel="1" x14ac:dyDescent="0.3">
      <c r="A36" s="19" t="s">
        <v>55</v>
      </c>
      <c r="B36" s="72" t="s">
        <v>49</v>
      </c>
      <c r="C36" s="73">
        <v>5105110</v>
      </c>
      <c r="D36" s="74">
        <f t="shared" si="7"/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</row>
    <row r="37" spans="1:16" outlineLevel="1" x14ac:dyDescent="0.3">
      <c r="A37" s="19" t="s">
        <v>56</v>
      </c>
      <c r="B37" s="72" t="s">
        <v>49</v>
      </c>
      <c r="C37" s="73">
        <v>5105111</v>
      </c>
      <c r="D37" s="74">
        <f t="shared" si="7"/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</row>
    <row r="38" spans="1:16" x14ac:dyDescent="0.3">
      <c r="A38" s="15" t="s">
        <v>57</v>
      </c>
      <c r="B38" s="75" t="s">
        <v>3</v>
      </c>
      <c r="C38" s="76"/>
      <c r="D38" s="77">
        <f t="shared" ref="D38:P38" si="8">SUM(D39:D45)</f>
        <v>0</v>
      </c>
      <c r="E38" s="77">
        <f t="shared" si="8"/>
        <v>0</v>
      </c>
      <c r="F38" s="77">
        <f t="shared" si="8"/>
        <v>0</v>
      </c>
      <c r="G38" s="77">
        <f t="shared" si="8"/>
        <v>0</v>
      </c>
      <c r="H38" s="77">
        <f t="shared" si="8"/>
        <v>0</v>
      </c>
      <c r="I38" s="77">
        <f t="shared" si="8"/>
        <v>0</v>
      </c>
      <c r="J38" s="77">
        <f t="shared" si="8"/>
        <v>0</v>
      </c>
      <c r="K38" s="77">
        <f t="shared" si="8"/>
        <v>0</v>
      </c>
      <c r="L38" s="77">
        <f t="shared" si="8"/>
        <v>0</v>
      </c>
      <c r="M38" s="77">
        <f t="shared" si="8"/>
        <v>0</v>
      </c>
      <c r="N38" s="77">
        <f t="shared" si="8"/>
        <v>0</v>
      </c>
      <c r="O38" s="77">
        <f t="shared" si="8"/>
        <v>0</v>
      </c>
      <c r="P38" s="77">
        <f t="shared" si="8"/>
        <v>0</v>
      </c>
    </row>
    <row r="39" spans="1:16" outlineLevel="1" x14ac:dyDescent="0.3">
      <c r="A39" s="19" t="s">
        <v>58</v>
      </c>
      <c r="B39" s="72" t="s">
        <v>59</v>
      </c>
      <c r="C39" s="73">
        <v>5106110</v>
      </c>
      <c r="D39" s="74">
        <f t="shared" ref="D39:D45" si="9">SUM(E39:P39)</f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</row>
    <row r="40" spans="1:16" outlineLevel="1" x14ac:dyDescent="0.3">
      <c r="A40" s="19" t="s">
        <v>60</v>
      </c>
      <c r="B40" s="72" t="s">
        <v>59</v>
      </c>
      <c r="C40" s="73">
        <v>5106120</v>
      </c>
      <c r="D40" s="74">
        <f t="shared" si="9"/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spans="1:16" outlineLevel="1" x14ac:dyDescent="0.3">
      <c r="A41" s="19" t="s">
        <v>61</v>
      </c>
      <c r="B41" s="72" t="s">
        <v>59</v>
      </c>
      <c r="C41" s="73">
        <v>5106130</v>
      </c>
      <c r="D41" s="74">
        <f t="shared" si="9"/>
        <v>0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</row>
    <row r="42" spans="1:16" outlineLevel="1" x14ac:dyDescent="0.3">
      <c r="A42" s="19" t="s">
        <v>62</v>
      </c>
      <c r="B42" s="72" t="s">
        <v>3</v>
      </c>
      <c r="C42" s="73">
        <v>5106140</v>
      </c>
      <c r="D42" s="74">
        <f t="shared" si="9"/>
        <v>0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</row>
    <row r="43" spans="1:16" outlineLevel="1" x14ac:dyDescent="0.3">
      <c r="A43" s="19" t="s">
        <v>63</v>
      </c>
      <c r="B43" s="72" t="s">
        <v>59</v>
      </c>
      <c r="C43" s="73">
        <v>5106150</v>
      </c>
      <c r="D43" s="74">
        <f t="shared" si="9"/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</row>
    <row r="44" spans="1:16" outlineLevel="1" x14ac:dyDescent="0.3">
      <c r="A44" s="19" t="s">
        <v>64</v>
      </c>
      <c r="B44" s="72" t="s">
        <v>3</v>
      </c>
      <c r="C44" s="73">
        <v>5106160</v>
      </c>
      <c r="D44" s="74">
        <f t="shared" si="9"/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</row>
    <row r="45" spans="1:16" outlineLevel="1" x14ac:dyDescent="0.3">
      <c r="A45" s="19" t="s">
        <v>65</v>
      </c>
      <c r="B45" s="72" t="s">
        <v>59</v>
      </c>
      <c r="C45" s="73">
        <v>5106141</v>
      </c>
      <c r="D45" s="74">
        <f t="shared" si="9"/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</row>
    <row r="46" spans="1:16" x14ac:dyDescent="0.3">
      <c r="A46" s="15" t="s">
        <v>66</v>
      </c>
      <c r="B46" s="75" t="s">
        <v>3</v>
      </c>
      <c r="C46" s="76"/>
      <c r="D46" s="77">
        <f t="shared" ref="D46:P46" si="10">SUM(D47:D56)</f>
        <v>0</v>
      </c>
      <c r="E46" s="77">
        <f t="shared" si="10"/>
        <v>0</v>
      </c>
      <c r="F46" s="77">
        <f t="shared" si="10"/>
        <v>0</v>
      </c>
      <c r="G46" s="77">
        <f t="shared" si="10"/>
        <v>0</v>
      </c>
      <c r="H46" s="77">
        <f t="shared" si="10"/>
        <v>0</v>
      </c>
      <c r="I46" s="77">
        <f t="shared" si="10"/>
        <v>0</v>
      </c>
      <c r="J46" s="77">
        <f t="shared" si="10"/>
        <v>0</v>
      </c>
      <c r="K46" s="77">
        <f t="shared" si="10"/>
        <v>0</v>
      </c>
      <c r="L46" s="77">
        <f t="shared" si="10"/>
        <v>0</v>
      </c>
      <c r="M46" s="77">
        <f t="shared" si="10"/>
        <v>0</v>
      </c>
      <c r="N46" s="77">
        <f t="shared" si="10"/>
        <v>0</v>
      </c>
      <c r="O46" s="77">
        <f t="shared" si="10"/>
        <v>0</v>
      </c>
      <c r="P46" s="77">
        <f t="shared" si="10"/>
        <v>0</v>
      </c>
    </row>
    <row r="47" spans="1:16" outlineLevel="1" x14ac:dyDescent="0.3">
      <c r="A47" s="19" t="s">
        <v>67</v>
      </c>
      <c r="B47" s="72" t="s">
        <v>68</v>
      </c>
      <c r="C47" s="73">
        <v>5107110</v>
      </c>
      <c r="D47" s="74">
        <f t="shared" ref="D47:D56" si="11">SUM(E47:P47)</f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</row>
    <row r="48" spans="1:16" outlineLevel="1" x14ac:dyDescent="0.3">
      <c r="A48" s="19" t="s">
        <v>69</v>
      </c>
      <c r="B48" s="72" t="s">
        <v>68</v>
      </c>
      <c r="C48" s="73">
        <v>5107130</v>
      </c>
      <c r="D48" s="74">
        <f t="shared" si="11"/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</row>
    <row r="49" spans="1:16" outlineLevel="1" x14ac:dyDescent="0.3">
      <c r="A49" s="22" t="s">
        <v>70</v>
      </c>
      <c r="B49" s="72" t="s">
        <v>68</v>
      </c>
      <c r="C49" s="73">
        <v>5107120</v>
      </c>
      <c r="D49" s="74">
        <f t="shared" si="11"/>
        <v>0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</row>
    <row r="50" spans="1:16" outlineLevel="1" x14ac:dyDescent="0.3">
      <c r="A50" s="19" t="s">
        <v>71</v>
      </c>
      <c r="B50" s="72" t="s">
        <v>68</v>
      </c>
      <c r="C50" s="73">
        <v>5107140</v>
      </c>
      <c r="D50" s="74">
        <f t="shared" si="11"/>
        <v>0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</row>
    <row r="51" spans="1:16" outlineLevel="1" x14ac:dyDescent="0.3">
      <c r="A51" s="19" t="s">
        <v>72</v>
      </c>
      <c r="B51" s="72" t="s">
        <v>68</v>
      </c>
      <c r="C51" s="73">
        <v>5107150</v>
      </c>
      <c r="D51" s="74">
        <f t="shared" si="11"/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</row>
    <row r="52" spans="1:16" outlineLevel="1" x14ac:dyDescent="0.3">
      <c r="A52" s="19" t="s">
        <v>73</v>
      </c>
      <c r="B52" s="72" t="s">
        <v>68</v>
      </c>
      <c r="C52" s="73">
        <v>5107160</v>
      </c>
      <c r="D52" s="74">
        <f t="shared" si="11"/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</row>
    <row r="53" spans="1:16" outlineLevel="1" x14ac:dyDescent="0.3">
      <c r="A53" s="19" t="s">
        <v>74</v>
      </c>
      <c r="B53" s="72" t="s">
        <v>68</v>
      </c>
      <c r="C53" s="73">
        <v>5107170</v>
      </c>
      <c r="D53" s="74">
        <f t="shared" si="11"/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</row>
    <row r="54" spans="1:16" outlineLevel="1" x14ac:dyDescent="0.3">
      <c r="A54" s="19" t="s">
        <v>75</v>
      </c>
      <c r="B54" s="72" t="s">
        <v>68</v>
      </c>
      <c r="C54" s="73">
        <v>5107180</v>
      </c>
      <c r="D54" s="74">
        <f t="shared" si="11"/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</row>
    <row r="55" spans="1:16" outlineLevel="1" x14ac:dyDescent="0.3">
      <c r="A55" s="40" t="s">
        <v>76</v>
      </c>
      <c r="B55" s="72" t="s">
        <v>77</v>
      </c>
      <c r="C55" s="73">
        <v>5107190</v>
      </c>
      <c r="D55" s="74">
        <f t="shared" si="11"/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</row>
    <row r="56" spans="1:16" outlineLevel="1" x14ac:dyDescent="0.3">
      <c r="A56" s="19" t="s">
        <v>78</v>
      </c>
      <c r="B56" s="72" t="s">
        <v>79</v>
      </c>
      <c r="C56" s="73">
        <v>5107210</v>
      </c>
      <c r="D56" s="74">
        <f t="shared" si="11"/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</row>
    <row r="57" spans="1:16" x14ac:dyDescent="0.3">
      <c r="A57" s="15" t="s">
        <v>80</v>
      </c>
      <c r="B57" s="75" t="s">
        <v>3</v>
      </c>
      <c r="C57" s="76"/>
      <c r="D57" s="77">
        <f t="shared" ref="D57:P57" si="12">SUM(D58:D65)</f>
        <v>0</v>
      </c>
      <c r="E57" s="77">
        <f t="shared" si="12"/>
        <v>0</v>
      </c>
      <c r="F57" s="77">
        <f t="shared" si="12"/>
        <v>0</v>
      </c>
      <c r="G57" s="77">
        <f t="shared" si="12"/>
        <v>0</v>
      </c>
      <c r="H57" s="77">
        <f t="shared" si="12"/>
        <v>0</v>
      </c>
      <c r="I57" s="77">
        <f t="shared" si="12"/>
        <v>0</v>
      </c>
      <c r="J57" s="77">
        <f t="shared" si="12"/>
        <v>0</v>
      </c>
      <c r="K57" s="77">
        <f t="shared" si="12"/>
        <v>0</v>
      </c>
      <c r="L57" s="77">
        <f t="shared" si="12"/>
        <v>0</v>
      </c>
      <c r="M57" s="77">
        <f t="shared" si="12"/>
        <v>0</v>
      </c>
      <c r="N57" s="77">
        <f t="shared" si="12"/>
        <v>0</v>
      </c>
      <c r="O57" s="77">
        <f t="shared" si="12"/>
        <v>0</v>
      </c>
      <c r="P57" s="77">
        <f t="shared" si="12"/>
        <v>0</v>
      </c>
    </row>
    <row r="58" spans="1:16" outlineLevel="1" x14ac:dyDescent="0.3">
      <c r="A58" s="19" t="s">
        <v>81</v>
      </c>
      <c r="B58" s="72" t="s">
        <v>82</v>
      </c>
      <c r="C58" s="73">
        <v>5108110</v>
      </c>
      <c r="D58" s="74">
        <f t="shared" ref="D58:D65" si="13">SUM(E58:P58)</f>
        <v>0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</row>
    <row r="59" spans="1:16" outlineLevel="1" x14ac:dyDescent="0.3">
      <c r="A59" s="19" t="s">
        <v>83</v>
      </c>
      <c r="B59" s="72" t="s">
        <v>82</v>
      </c>
      <c r="C59" s="73">
        <v>5108120</v>
      </c>
      <c r="D59" s="74">
        <f t="shared" si="13"/>
        <v>0</v>
      </c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</row>
    <row r="60" spans="1:16" outlineLevel="1" x14ac:dyDescent="0.3">
      <c r="A60" s="19" t="s">
        <v>84</v>
      </c>
      <c r="B60" s="72" t="s">
        <v>82</v>
      </c>
      <c r="C60" s="73">
        <v>5108130</v>
      </c>
      <c r="D60" s="74">
        <f t="shared" si="13"/>
        <v>0</v>
      </c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</row>
    <row r="61" spans="1:16" outlineLevel="1" x14ac:dyDescent="0.3">
      <c r="A61" s="19" t="s">
        <v>85</v>
      </c>
      <c r="B61" s="72" t="s">
        <v>82</v>
      </c>
      <c r="C61" s="73">
        <v>5108140</v>
      </c>
      <c r="D61" s="74">
        <f t="shared" si="13"/>
        <v>0</v>
      </c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</row>
    <row r="62" spans="1:16" outlineLevel="1" x14ac:dyDescent="0.3">
      <c r="A62" s="19" t="s">
        <v>86</v>
      </c>
      <c r="B62" s="72" t="s">
        <v>87</v>
      </c>
      <c r="C62" s="73">
        <v>5108150</v>
      </c>
      <c r="D62" s="74">
        <f t="shared" si="13"/>
        <v>0</v>
      </c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</row>
    <row r="63" spans="1:16" outlineLevel="1" x14ac:dyDescent="0.3">
      <c r="A63" s="19" t="s">
        <v>88</v>
      </c>
      <c r="B63" s="72" t="s">
        <v>82</v>
      </c>
      <c r="C63" s="73">
        <v>5108160</v>
      </c>
      <c r="D63" s="74">
        <f t="shared" si="13"/>
        <v>0</v>
      </c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</row>
    <row r="64" spans="1:16" outlineLevel="1" x14ac:dyDescent="0.3">
      <c r="A64" s="19" t="s">
        <v>89</v>
      </c>
      <c r="B64" s="72" t="s">
        <v>89</v>
      </c>
      <c r="C64" s="73">
        <v>5108161</v>
      </c>
      <c r="D64" s="74">
        <f t="shared" si="13"/>
        <v>0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</row>
    <row r="65" spans="1:16" outlineLevel="1" x14ac:dyDescent="0.3">
      <c r="A65" s="19" t="s">
        <v>90</v>
      </c>
      <c r="B65" s="72" t="s">
        <v>90</v>
      </c>
      <c r="C65" s="73">
        <v>5108162</v>
      </c>
      <c r="D65" s="74">
        <f t="shared" si="13"/>
        <v>0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</row>
    <row r="66" spans="1:16" x14ac:dyDescent="0.3">
      <c r="A66" s="15" t="s">
        <v>91</v>
      </c>
      <c r="B66" s="75" t="s">
        <v>3</v>
      </c>
      <c r="C66" s="76"/>
      <c r="D66" s="77">
        <f t="shared" ref="D66:P66" si="14">SUM(D67:D77)</f>
        <v>4617324</v>
      </c>
      <c r="E66" s="77">
        <f t="shared" si="14"/>
        <v>384777</v>
      </c>
      <c r="F66" s="77">
        <f t="shared" si="14"/>
        <v>384777</v>
      </c>
      <c r="G66" s="77">
        <f t="shared" si="14"/>
        <v>384777</v>
      </c>
      <c r="H66" s="77">
        <f t="shared" si="14"/>
        <v>384777</v>
      </c>
      <c r="I66" s="77">
        <f t="shared" si="14"/>
        <v>384777</v>
      </c>
      <c r="J66" s="77">
        <f t="shared" si="14"/>
        <v>384777</v>
      </c>
      <c r="K66" s="77">
        <f t="shared" si="14"/>
        <v>384777</v>
      </c>
      <c r="L66" s="77">
        <f t="shared" si="14"/>
        <v>384777</v>
      </c>
      <c r="M66" s="77">
        <f t="shared" si="14"/>
        <v>384777</v>
      </c>
      <c r="N66" s="77">
        <f t="shared" si="14"/>
        <v>384777</v>
      </c>
      <c r="O66" s="77">
        <f t="shared" si="14"/>
        <v>384777</v>
      </c>
      <c r="P66" s="77">
        <f t="shared" si="14"/>
        <v>384777</v>
      </c>
    </row>
    <row r="67" spans="1:16" outlineLevel="1" x14ac:dyDescent="0.3">
      <c r="A67" s="19" t="s">
        <v>92</v>
      </c>
      <c r="B67" s="72" t="s">
        <v>93</v>
      </c>
      <c r="C67" s="73">
        <v>5109110</v>
      </c>
      <c r="D67" s="74">
        <f t="shared" ref="D67:D77" si="15">SUM(E67:P67)</f>
        <v>0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</row>
    <row r="68" spans="1:16" outlineLevel="1" x14ac:dyDescent="0.3">
      <c r="A68" s="19" t="s">
        <v>94</v>
      </c>
      <c r="B68" s="72" t="s">
        <v>93</v>
      </c>
      <c r="C68" s="73">
        <v>5109120</v>
      </c>
      <c r="D68" s="74">
        <f t="shared" si="15"/>
        <v>0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</row>
    <row r="69" spans="1:16" outlineLevel="1" x14ac:dyDescent="0.3">
      <c r="A69" s="19" t="s">
        <v>95</v>
      </c>
      <c r="B69" s="72" t="s">
        <v>93</v>
      </c>
      <c r="C69" s="73">
        <v>5109130</v>
      </c>
      <c r="D69" s="74">
        <f t="shared" si="15"/>
        <v>0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</row>
    <row r="70" spans="1:16" outlineLevel="1" x14ac:dyDescent="0.3">
      <c r="A70" s="22" t="s">
        <v>96</v>
      </c>
      <c r="B70" s="72" t="s">
        <v>93</v>
      </c>
      <c r="C70" s="73">
        <v>5109140</v>
      </c>
      <c r="D70" s="74">
        <f t="shared" si="15"/>
        <v>0</v>
      </c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</row>
    <row r="71" spans="1:16" outlineLevel="1" x14ac:dyDescent="0.3">
      <c r="A71" s="19" t="s">
        <v>97</v>
      </c>
      <c r="B71" s="72" t="s">
        <v>93</v>
      </c>
      <c r="C71" s="73">
        <v>5109150</v>
      </c>
      <c r="D71" s="74">
        <f t="shared" si="15"/>
        <v>0</v>
      </c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</row>
    <row r="72" spans="1:16" outlineLevel="1" x14ac:dyDescent="0.3">
      <c r="A72" s="19" t="s">
        <v>98</v>
      </c>
      <c r="B72" s="72" t="s">
        <v>93</v>
      </c>
      <c r="C72" s="73">
        <v>5109160</v>
      </c>
      <c r="D72" s="74">
        <f t="shared" si="15"/>
        <v>0</v>
      </c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</row>
    <row r="73" spans="1:16" s="81" customFormat="1" outlineLevel="1" x14ac:dyDescent="0.3">
      <c r="A73" s="32" t="s">
        <v>99</v>
      </c>
      <c r="B73" s="78" t="s">
        <v>93</v>
      </c>
      <c r="C73" s="79">
        <v>5109170</v>
      </c>
      <c r="D73" s="80">
        <f t="shared" si="15"/>
        <v>319908</v>
      </c>
      <c r="E73" s="80">
        <v>26659</v>
      </c>
      <c r="F73" s="80">
        <v>26659</v>
      </c>
      <c r="G73" s="80">
        <v>26659</v>
      </c>
      <c r="H73" s="80">
        <v>26659</v>
      </c>
      <c r="I73" s="80">
        <v>26659</v>
      </c>
      <c r="J73" s="80">
        <v>26659</v>
      </c>
      <c r="K73" s="80">
        <v>26659</v>
      </c>
      <c r="L73" s="80">
        <v>26659</v>
      </c>
      <c r="M73" s="80">
        <v>26659</v>
      </c>
      <c r="N73" s="80">
        <v>26659</v>
      </c>
      <c r="O73" s="80">
        <v>26659</v>
      </c>
      <c r="P73" s="80">
        <v>26659</v>
      </c>
    </row>
    <row r="74" spans="1:16" s="81" customFormat="1" outlineLevel="1" x14ac:dyDescent="0.3">
      <c r="A74" s="32" t="s">
        <v>100</v>
      </c>
      <c r="B74" s="78" t="s">
        <v>93</v>
      </c>
      <c r="C74" s="79">
        <v>5109180</v>
      </c>
      <c r="D74" s="80">
        <f t="shared" si="15"/>
        <v>0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</row>
    <row r="75" spans="1:16" s="81" customFormat="1" outlineLevel="1" x14ac:dyDescent="0.3">
      <c r="A75" s="32" t="s">
        <v>101</v>
      </c>
      <c r="B75" s="78" t="s">
        <v>93</v>
      </c>
      <c r="C75" s="79">
        <v>5109190</v>
      </c>
      <c r="D75" s="80">
        <f t="shared" si="15"/>
        <v>0</v>
      </c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</row>
    <row r="76" spans="1:16" s="81" customFormat="1" outlineLevel="1" x14ac:dyDescent="0.3">
      <c r="A76" s="32" t="s">
        <v>102</v>
      </c>
      <c r="B76" s="78" t="s">
        <v>93</v>
      </c>
      <c r="C76" s="79">
        <v>5109210</v>
      </c>
      <c r="D76" s="80">
        <f t="shared" si="15"/>
        <v>0</v>
      </c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</row>
    <row r="77" spans="1:16" s="81" customFormat="1" outlineLevel="1" x14ac:dyDescent="0.3">
      <c r="A77" s="32" t="s">
        <v>103</v>
      </c>
      <c r="B77" s="78" t="s">
        <v>93</v>
      </c>
      <c r="C77" s="79">
        <v>5109220</v>
      </c>
      <c r="D77" s="80">
        <f t="shared" si="15"/>
        <v>4297416</v>
      </c>
      <c r="E77" s="80">
        <v>358118</v>
      </c>
      <c r="F77" s="80">
        <v>358118</v>
      </c>
      <c r="G77" s="80">
        <v>358118</v>
      </c>
      <c r="H77" s="80">
        <v>358118</v>
      </c>
      <c r="I77" s="80">
        <v>358118</v>
      </c>
      <c r="J77" s="80">
        <v>358118</v>
      </c>
      <c r="K77" s="80">
        <v>358118</v>
      </c>
      <c r="L77" s="80">
        <v>358118</v>
      </c>
      <c r="M77" s="80">
        <v>358118</v>
      </c>
      <c r="N77" s="80">
        <v>358118</v>
      </c>
      <c r="O77" s="80">
        <v>358118</v>
      </c>
      <c r="P77" s="80">
        <v>358118</v>
      </c>
    </row>
    <row r="78" spans="1:16" x14ac:dyDescent="0.3">
      <c r="A78" s="15" t="s">
        <v>104</v>
      </c>
      <c r="B78" s="75" t="s">
        <v>3</v>
      </c>
      <c r="C78" s="76"/>
      <c r="D78" s="77">
        <f t="shared" ref="D78:P78" si="16">SUM(D79:D84)</f>
        <v>0</v>
      </c>
      <c r="E78" s="77">
        <f t="shared" si="16"/>
        <v>0</v>
      </c>
      <c r="F78" s="77">
        <f t="shared" si="16"/>
        <v>0</v>
      </c>
      <c r="G78" s="77">
        <f t="shared" si="16"/>
        <v>0</v>
      </c>
      <c r="H78" s="77">
        <f t="shared" si="16"/>
        <v>0</v>
      </c>
      <c r="I78" s="77">
        <f t="shared" si="16"/>
        <v>0</v>
      </c>
      <c r="J78" s="77">
        <f t="shared" si="16"/>
        <v>0</v>
      </c>
      <c r="K78" s="77">
        <f t="shared" si="16"/>
        <v>0</v>
      </c>
      <c r="L78" s="77">
        <f t="shared" si="16"/>
        <v>0</v>
      </c>
      <c r="M78" s="77">
        <f t="shared" si="16"/>
        <v>0</v>
      </c>
      <c r="N78" s="77">
        <f t="shared" si="16"/>
        <v>0</v>
      </c>
      <c r="O78" s="77">
        <f t="shared" si="16"/>
        <v>0</v>
      </c>
      <c r="P78" s="77">
        <f t="shared" si="16"/>
        <v>0</v>
      </c>
    </row>
    <row r="79" spans="1:16" outlineLevel="1" x14ac:dyDescent="0.3">
      <c r="A79" s="19" t="s">
        <v>105</v>
      </c>
      <c r="B79" s="72" t="s">
        <v>106</v>
      </c>
      <c r="C79" s="73">
        <v>5110110</v>
      </c>
      <c r="D79" s="74">
        <f t="shared" ref="D79:D84" si="17">SUM(E79:P79)</f>
        <v>0</v>
      </c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</row>
    <row r="80" spans="1:16" outlineLevel="1" x14ac:dyDescent="0.3">
      <c r="A80" s="19" t="s">
        <v>107</v>
      </c>
      <c r="B80" s="72" t="s">
        <v>106</v>
      </c>
      <c r="C80" s="73">
        <v>5110120</v>
      </c>
      <c r="D80" s="74">
        <f t="shared" si="17"/>
        <v>0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</row>
    <row r="81" spans="1:16" outlineLevel="1" x14ac:dyDescent="0.3">
      <c r="A81" s="19" t="s">
        <v>108</v>
      </c>
      <c r="B81" s="72" t="s">
        <v>106</v>
      </c>
      <c r="C81" s="73">
        <v>5110130</v>
      </c>
      <c r="D81" s="74">
        <f t="shared" si="17"/>
        <v>0</v>
      </c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</row>
    <row r="82" spans="1:16" outlineLevel="1" x14ac:dyDescent="0.3">
      <c r="A82" s="19" t="s">
        <v>109</v>
      </c>
      <c r="B82" s="72" t="s">
        <v>106</v>
      </c>
      <c r="C82" s="73">
        <v>5110140</v>
      </c>
      <c r="D82" s="74">
        <f t="shared" si="17"/>
        <v>0</v>
      </c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</row>
    <row r="83" spans="1:16" outlineLevel="1" x14ac:dyDescent="0.3">
      <c r="A83" s="19" t="s">
        <v>110</v>
      </c>
      <c r="B83" s="72" t="s">
        <v>111</v>
      </c>
      <c r="C83" s="73">
        <v>5110150</v>
      </c>
      <c r="D83" s="74">
        <f t="shared" si="17"/>
        <v>0</v>
      </c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</row>
    <row r="84" spans="1:16" outlineLevel="1" x14ac:dyDescent="0.3">
      <c r="A84" s="19" t="s">
        <v>112</v>
      </c>
      <c r="B84" s="72" t="s">
        <v>111</v>
      </c>
      <c r="C84" s="73" t="s">
        <v>113</v>
      </c>
      <c r="D84" s="74">
        <f t="shared" si="17"/>
        <v>0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</row>
    <row r="85" spans="1:16" x14ac:dyDescent="0.3">
      <c r="A85" s="15" t="s">
        <v>114</v>
      </c>
      <c r="B85" s="75" t="s">
        <v>3</v>
      </c>
      <c r="C85" s="76"/>
      <c r="D85" s="77">
        <f t="shared" ref="D85:P85" si="18">SUM(D86:D92)</f>
        <v>0</v>
      </c>
      <c r="E85" s="77">
        <f t="shared" si="18"/>
        <v>0</v>
      </c>
      <c r="F85" s="77">
        <f t="shared" si="18"/>
        <v>0</v>
      </c>
      <c r="G85" s="77">
        <f t="shared" si="18"/>
        <v>0</v>
      </c>
      <c r="H85" s="77">
        <f t="shared" si="18"/>
        <v>0</v>
      </c>
      <c r="I85" s="77">
        <f t="shared" si="18"/>
        <v>0</v>
      </c>
      <c r="J85" s="77">
        <f t="shared" si="18"/>
        <v>0</v>
      </c>
      <c r="K85" s="77">
        <f t="shared" si="18"/>
        <v>0</v>
      </c>
      <c r="L85" s="77">
        <f t="shared" si="18"/>
        <v>0</v>
      </c>
      <c r="M85" s="77">
        <f t="shared" si="18"/>
        <v>0</v>
      </c>
      <c r="N85" s="77">
        <f t="shared" si="18"/>
        <v>0</v>
      </c>
      <c r="O85" s="77">
        <f t="shared" si="18"/>
        <v>0</v>
      </c>
      <c r="P85" s="77">
        <f t="shared" si="18"/>
        <v>0</v>
      </c>
    </row>
    <row r="86" spans="1:16" outlineLevel="1" x14ac:dyDescent="0.3">
      <c r="A86" s="19" t="s">
        <v>115</v>
      </c>
      <c r="B86" s="72" t="s">
        <v>116</v>
      </c>
      <c r="C86" s="73">
        <v>5111110</v>
      </c>
      <c r="D86" s="74">
        <f t="shared" ref="D86:D92" si="19">SUM(E86:P86)</f>
        <v>0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</row>
    <row r="87" spans="1:16" outlineLevel="1" x14ac:dyDescent="0.3">
      <c r="A87" s="19" t="s">
        <v>117</v>
      </c>
      <c r="B87" s="72" t="s">
        <v>116</v>
      </c>
      <c r="C87" s="73">
        <v>5111120</v>
      </c>
      <c r="D87" s="74">
        <f t="shared" si="19"/>
        <v>0</v>
      </c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</row>
    <row r="88" spans="1:16" outlineLevel="1" x14ac:dyDescent="0.3">
      <c r="A88" s="19" t="s">
        <v>118</v>
      </c>
      <c r="B88" s="72" t="s">
        <v>116</v>
      </c>
      <c r="C88" s="73">
        <v>5111130</v>
      </c>
      <c r="D88" s="74">
        <f t="shared" si="19"/>
        <v>0</v>
      </c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</row>
    <row r="89" spans="1:16" outlineLevel="1" x14ac:dyDescent="0.3">
      <c r="A89" s="19" t="s">
        <v>119</v>
      </c>
      <c r="B89" s="72" t="s">
        <v>116</v>
      </c>
      <c r="C89" s="73">
        <v>5111140</v>
      </c>
      <c r="D89" s="74">
        <f t="shared" si="19"/>
        <v>0</v>
      </c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</row>
    <row r="90" spans="1:16" outlineLevel="1" x14ac:dyDescent="0.3">
      <c r="A90" s="19" t="s">
        <v>120</v>
      </c>
      <c r="B90" s="72" t="s">
        <v>116</v>
      </c>
      <c r="C90" s="73">
        <v>5111150</v>
      </c>
      <c r="D90" s="74">
        <f t="shared" si="19"/>
        <v>0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</row>
    <row r="91" spans="1:16" outlineLevel="1" x14ac:dyDescent="0.3">
      <c r="A91" s="19" t="s">
        <v>121</v>
      </c>
      <c r="B91" s="72" t="s">
        <v>116</v>
      </c>
      <c r="C91" s="73">
        <v>5111160</v>
      </c>
      <c r="D91" s="74">
        <f t="shared" si="19"/>
        <v>0</v>
      </c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</row>
    <row r="92" spans="1:16" outlineLevel="1" x14ac:dyDescent="0.3">
      <c r="A92" s="19" t="s">
        <v>122</v>
      </c>
      <c r="B92" s="72" t="s">
        <v>116</v>
      </c>
      <c r="C92" s="73">
        <v>5111141</v>
      </c>
      <c r="D92" s="74">
        <f t="shared" si="19"/>
        <v>0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</row>
    <row r="93" spans="1:16" x14ac:dyDescent="0.3">
      <c r="A93" s="15" t="s">
        <v>123</v>
      </c>
      <c r="B93" s="75" t="s">
        <v>3</v>
      </c>
      <c r="C93" s="76"/>
      <c r="D93" s="77">
        <f t="shared" ref="D93:P93" si="20">SUM(D94:D95)</f>
        <v>37332</v>
      </c>
      <c r="E93" s="77">
        <f t="shared" si="20"/>
        <v>3111</v>
      </c>
      <c r="F93" s="77">
        <f t="shared" si="20"/>
        <v>3111</v>
      </c>
      <c r="G93" s="77">
        <f t="shared" si="20"/>
        <v>3111</v>
      </c>
      <c r="H93" s="77">
        <f t="shared" si="20"/>
        <v>3111</v>
      </c>
      <c r="I93" s="77">
        <f t="shared" si="20"/>
        <v>3111</v>
      </c>
      <c r="J93" s="77">
        <f t="shared" si="20"/>
        <v>3111</v>
      </c>
      <c r="K93" s="77">
        <f t="shared" si="20"/>
        <v>3111</v>
      </c>
      <c r="L93" s="77">
        <f t="shared" si="20"/>
        <v>3111</v>
      </c>
      <c r="M93" s="77">
        <f t="shared" si="20"/>
        <v>3111</v>
      </c>
      <c r="N93" s="77">
        <f t="shared" si="20"/>
        <v>3111</v>
      </c>
      <c r="O93" s="77">
        <f t="shared" si="20"/>
        <v>3111</v>
      </c>
      <c r="P93" s="77">
        <f t="shared" si="20"/>
        <v>3111</v>
      </c>
    </row>
    <row r="94" spans="1:16" s="81" customFormat="1" outlineLevel="1" x14ac:dyDescent="0.3">
      <c r="A94" s="32" t="s">
        <v>124</v>
      </c>
      <c r="B94" s="78" t="s">
        <v>125</v>
      </c>
      <c r="C94" s="79">
        <v>5112110</v>
      </c>
      <c r="D94" s="80">
        <f>SUM(E94:P94)</f>
        <v>37332</v>
      </c>
      <c r="E94" s="80">
        <v>3111</v>
      </c>
      <c r="F94" s="80">
        <v>3111</v>
      </c>
      <c r="G94" s="80">
        <v>3111</v>
      </c>
      <c r="H94" s="80">
        <v>3111</v>
      </c>
      <c r="I94" s="80">
        <v>3111</v>
      </c>
      <c r="J94" s="80">
        <v>3111</v>
      </c>
      <c r="K94" s="80">
        <v>3111</v>
      </c>
      <c r="L94" s="80">
        <v>3111</v>
      </c>
      <c r="M94" s="80">
        <v>3111</v>
      </c>
      <c r="N94" s="80">
        <v>3111</v>
      </c>
      <c r="O94" s="80">
        <v>3111</v>
      </c>
      <c r="P94" s="80">
        <v>3111</v>
      </c>
    </row>
    <row r="95" spans="1:16" outlineLevel="1" x14ac:dyDescent="0.3">
      <c r="A95" s="19" t="s">
        <v>126</v>
      </c>
      <c r="B95" s="72" t="s">
        <v>126</v>
      </c>
      <c r="C95" s="73">
        <v>5112120</v>
      </c>
      <c r="D95" s="74">
        <f>SUM(E95:P95)</f>
        <v>0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</row>
    <row r="96" spans="1:16" x14ac:dyDescent="0.3">
      <c r="A96" s="15" t="s">
        <v>127</v>
      </c>
      <c r="B96" s="75" t="s">
        <v>3</v>
      </c>
      <c r="C96" s="76"/>
      <c r="D96" s="77">
        <f t="shared" ref="D96:P96" si="21">SUM(D97:D105)</f>
        <v>512000000</v>
      </c>
      <c r="E96" s="77">
        <f t="shared" si="21"/>
        <v>1000000</v>
      </c>
      <c r="F96" s="77">
        <f t="shared" si="21"/>
        <v>1000000</v>
      </c>
      <c r="G96" s="77">
        <f t="shared" si="21"/>
        <v>126000000</v>
      </c>
      <c r="H96" s="77">
        <f t="shared" si="21"/>
        <v>1000000</v>
      </c>
      <c r="I96" s="77">
        <f t="shared" si="21"/>
        <v>1000000</v>
      </c>
      <c r="J96" s="77">
        <f t="shared" si="21"/>
        <v>126000000</v>
      </c>
      <c r="K96" s="77">
        <f t="shared" si="21"/>
        <v>1000000</v>
      </c>
      <c r="L96" s="77">
        <f t="shared" si="21"/>
        <v>1000000</v>
      </c>
      <c r="M96" s="77">
        <f t="shared" si="21"/>
        <v>126000000</v>
      </c>
      <c r="N96" s="77">
        <f t="shared" si="21"/>
        <v>1000000</v>
      </c>
      <c r="O96" s="77">
        <f t="shared" si="21"/>
        <v>1000000</v>
      </c>
      <c r="P96" s="77">
        <f t="shared" si="21"/>
        <v>126000000</v>
      </c>
    </row>
    <row r="97" spans="1:16" s="81" customFormat="1" outlineLevel="1" x14ac:dyDescent="0.3">
      <c r="A97" s="32" t="s">
        <v>128</v>
      </c>
      <c r="B97" s="78" t="s">
        <v>129</v>
      </c>
      <c r="C97" s="79">
        <v>5113110</v>
      </c>
      <c r="D97" s="80">
        <f t="shared" ref="D97:D105" si="22">SUM(E97:P97)</f>
        <v>512000000</v>
      </c>
      <c r="E97" s="80">
        <v>1000000</v>
      </c>
      <c r="F97" s="80">
        <v>1000000</v>
      </c>
      <c r="G97" s="80">
        <v>126000000</v>
      </c>
      <c r="H97" s="80">
        <v>1000000</v>
      </c>
      <c r="I97" s="80">
        <v>1000000</v>
      </c>
      <c r="J97" s="80">
        <v>126000000</v>
      </c>
      <c r="K97" s="80">
        <v>1000000</v>
      </c>
      <c r="L97" s="80">
        <v>1000000</v>
      </c>
      <c r="M97" s="80">
        <v>126000000</v>
      </c>
      <c r="N97" s="80">
        <v>1000000</v>
      </c>
      <c r="O97" s="80">
        <v>1000000</v>
      </c>
      <c r="P97" s="80">
        <v>126000000</v>
      </c>
    </row>
    <row r="98" spans="1:16" outlineLevel="1" x14ac:dyDescent="0.3">
      <c r="A98" s="19" t="s">
        <v>130</v>
      </c>
      <c r="B98" s="72" t="s">
        <v>131</v>
      </c>
      <c r="C98" s="73">
        <v>5113120</v>
      </c>
      <c r="D98" s="74">
        <f t="shared" si="22"/>
        <v>0</v>
      </c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</row>
    <row r="99" spans="1:16" outlineLevel="1" x14ac:dyDescent="0.3">
      <c r="A99" s="19" t="s">
        <v>132</v>
      </c>
      <c r="B99" s="72" t="s">
        <v>133</v>
      </c>
      <c r="C99" s="73">
        <v>5113130</v>
      </c>
      <c r="D99" s="74">
        <f t="shared" si="22"/>
        <v>0</v>
      </c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</row>
    <row r="100" spans="1:16" outlineLevel="1" x14ac:dyDescent="0.3">
      <c r="A100" s="19" t="s">
        <v>134</v>
      </c>
      <c r="B100" s="72" t="s">
        <v>133</v>
      </c>
      <c r="C100" s="73">
        <v>5113140</v>
      </c>
      <c r="D100" s="74">
        <f t="shared" si="22"/>
        <v>0</v>
      </c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</row>
    <row r="101" spans="1:16" outlineLevel="1" x14ac:dyDescent="0.3">
      <c r="A101" s="19" t="s">
        <v>135</v>
      </c>
      <c r="B101" s="72" t="s">
        <v>136</v>
      </c>
      <c r="C101" s="73">
        <v>5113150</v>
      </c>
      <c r="D101" s="74">
        <f t="shared" si="22"/>
        <v>0</v>
      </c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</row>
    <row r="102" spans="1:16" outlineLevel="1" x14ac:dyDescent="0.3">
      <c r="A102" s="19" t="s">
        <v>137</v>
      </c>
      <c r="B102" s="72" t="s">
        <v>133</v>
      </c>
      <c r="C102" s="73"/>
      <c r="D102" s="74">
        <f t="shared" si="22"/>
        <v>0</v>
      </c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</row>
    <row r="103" spans="1:16" outlineLevel="1" x14ac:dyDescent="0.3">
      <c r="A103" s="19" t="s">
        <v>138</v>
      </c>
      <c r="B103" s="72" t="s">
        <v>133</v>
      </c>
      <c r="C103" s="73">
        <v>5113170</v>
      </c>
      <c r="D103" s="74">
        <f t="shared" si="22"/>
        <v>0</v>
      </c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</row>
    <row r="104" spans="1:16" outlineLevel="1" x14ac:dyDescent="0.3">
      <c r="A104" s="19" t="s">
        <v>139</v>
      </c>
      <c r="B104" s="72" t="s">
        <v>3</v>
      </c>
      <c r="C104" s="73">
        <v>5113210</v>
      </c>
      <c r="D104" s="74">
        <f t="shared" si="22"/>
        <v>0</v>
      </c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</row>
    <row r="105" spans="1:16" outlineLevel="1" x14ac:dyDescent="0.3">
      <c r="A105" s="19" t="s">
        <v>140</v>
      </c>
      <c r="B105" s="78" t="s">
        <v>141</v>
      </c>
      <c r="C105" s="73">
        <v>5113160</v>
      </c>
      <c r="D105" s="74">
        <f t="shared" si="22"/>
        <v>0</v>
      </c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</row>
    <row r="106" spans="1:16" x14ac:dyDescent="0.3">
      <c r="A106" s="15" t="s">
        <v>142</v>
      </c>
      <c r="B106" s="75" t="s">
        <v>3</v>
      </c>
      <c r="C106" s="76"/>
      <c r="D106" s="77">
        <f t="shared" ref="D106:P106" si="23">D107</f>
        <v>40000000</v>
      </c>
      <c r="E106" s="77">
        <f t="shared" si="23"/>
        <v>0</v>
      </c>
      <c r="F106" s="77">
        <f t="shared" si="23"/>
        <v>0</v>
      </c>
      <c r="G106" s="77">
        <f t="shared" si="23"/>
        <v>10000000</v>
      </c>
      <c r="H106" s="77">
        <f t="shared" si="23"/>
        <v>0</v>
      </c>
      <c r="I106" s="77">
        <f t="shared" si="23"/>
        <v>0</v>
      </c>
      <c r="J106" s="77">
        <f t="shared" si="23"/>
        <v>10000000</v>
      </c>
      <c r="K106" s="77">
        <f t="shared" si="23"/>
        <v>0</v>
      </c>
      <c r="L106" s="77">
        <f t="shared" si="23"/>
        <v>0</v>
      </c>
      <c r="M106" s="77">
        <f t="shared" si="23"/>
        <v>10000000</v>
      </c>
      <c r="N106" s="77">
        <f t="shared" si="23"/>
        <v>0</v>
      </c>
      <c r="O106" s="77">
        <f t="shared" si="23"/>
        <v>0</v>
      </c>
      <c r="P106" s="77">
        <f t="shared" si="23"/>
        <v>10000000</v>
      </c>
    </row>
    <row r="107" spans="1:16" s="81" customFormat="1" outlineLevel="1" x14ac:dyDescent="0.3">
      <c r="A107" s="32" t="s">
        <v>143</v>
      </c>
      <c r="B107" s="78" t="s">
        <v>144</v>
      </c>
      <c r="C107" s="79">
        <v>5115110</v>
      </c>
      <c r="D107" s="80">
        <f>SUM(E107:P107)</f>
        <v>40000000</v>
      </c>
      <c r="E107" s="80">
        <v>0</v>
      </c>
      <c r="F107" s="80">
        <v>0</v>
      </c>
      <c r="G107" s="80">
        <v>10000000</v>
      </c>
      <c r="H107" s="80">
        <v>0</v>
      </c>
      <c r="I107" s="80">
        <v>0</v>
      </c>
      <c r="J107" s="80">
        <v>10000000</v>
      </c>
      <c r="K107" s="80">
        <v>0</v>
      </c>
      <c r="L107" s="80">
        <v>0</v>
      </c>
      <c r="M107" s="80">
        <v>10000000</v>
      </c>
      <c r="N107" s="80">
        <v>0</v>
      </c>
      <c r="O107" s="80">
        <v>0</v>
      </c>
      <c r="P107" s="80">
        <v>10000000</v>
      </c>
    </row>
    <row r="108" spans="1:16" x14ac:dyDescent="0.3">
      <c r="A108" s="15" t="s">
        <v>145</v>
      </c>
      <c r="B108" s="75" t="s">
        <v>3</v>
      </c>
      <c r="C108" s="76"/>
      <c r="D108" s="77">
        <f t="shared" ref="D108:P108" si="24">SUM(D109:D115)</f>
        <v>0</v>
      </c>
      <c r="E108" s="77">
        <f t="shared" si="24"/>
        <v>0</v>
      </c>
      <c r="F108" s="77">
        <f t="shared" si="24"/>
        <v>0</v>
      </c>
      <c r="G108" s="77">
        <f t="shared" si="24"/>
        <v>0</v>
      </c>
      <c r="H108" s="77">
        <f t="shared" si="24"/>
        <v>0</v>
      </c>
      <c r="I108" s="77">
        <f t="shared" si="24"/>
        <v>0</v>
      </c>
      <c r="J108" s="77">
        <f t="shared" si="24"/>
        <v>0</v>
      </c>
      <c r="K108" s="77">
        <f t="shared" si="24"/>
        <v>0</v>
      </c>
      <c r="L108" s="77">
        <f t="shared" si="24"/>
        <v>0</v>
      </c>
      <c r="M108" s="77">
        <f t="shared" si="24"/>
        <v>0</v>
      </c>
      <c r="N108" s="77">
        <f t="shared" si="24"/>
        <v>0</v>
      </c>
      <c r="O108" s="77">
        <f t="shared" si="24"/>
        <v>0</v>
      </c>
      <c r="P108" s="77">
        <f t="shared" si="24"/>
        <v>0</v>
      </c>
    </row>
    <row r="109" spans="1:16" outlineLevel="1" x14ac:dyDescent="0.3">
      <c r="A109" s="19" t="s">
        <v>146</v>
      </c>
      <c r="B109" s="72" t="s">
        <v>147</v>
      </c>
      <c r="C109" s="73">
        <v>5116110</v>
      </c>
      <c r="D109" s="74">
        <f t="shared" ref="D109:D115" si="25">SUM(E109:P109)</f>
        <v>0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</row>
    <row r="110" spans="1:16" outlineLevel="1" x14ac:dyDescent="0.3">
      <c r="A110" s="19" t="s">
        <v>148</v>
      </c>
      <c r="B110" s="72" t="s">
        <v>147</v>
      </c>
      <c r="C110" s="73">
        <v>5116120</v>
      </c>
      <c r="D110" s="74">
        <f t="shared" si="25"/>
        <v>0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</row>
    <row r="111" spans="1:16" outlineLevel="1" x14ac:dyDescent="0.3">
      <c r="A111" s="19" t="s">
        <v>149</v>
      </c>
      <c r="B111" s="72" t="s">
        <v>150</v>
      </c>
      <c r="C111" s="73">
        <v>5116130</v>
      </c>
      <c r="D111" s="74">
        <f t="shared" si="25"/>
        <v>0</v>
      </c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</row>
    <row r="112" spans="1:16" outlineLevel="1" x14ac:dyDescent="0.3">
      <c r="A112" s="19" t="s">
        <v>151</v>
      </c>
      <c r="B112" s="72" t="s">
        <v>147</v>
      </c>
      <c r="C112" s="73">
        <v>5116140</v>
      </c>
      <c r="D112" s="74">
        <f t="shared" si="25"/>
        <v>0</v>
      </c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</row>
    <row r="113" spans="1:16" outlineLevel="1" x14ac:dyDescent="0.3">
      <c r="A113" s="19" t="s">
        <v>152</v>
      </c>
      <c r="B113" s="72" t="s">
        <v>150</v>
      </c>
      <c r="C113" s="73">
        <v>5116150</v>
      </c>
      <c r="D113" s="74">
        <f t="shared" si="25"/>
        <v>0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</row>
    <row r="114" spans="1:16" outlineLevel="1" x14ac:dyDescent="0.3">
      <c r="A114" s="19" t="s">
        <v>153</v>
      </c>
      <c r="B114" s="72" t="s">
        <v>147</v>
      </c>
      <c r="C114" s="73">
        <v>5116160</v>
      </c>
      <c r="D114" s="74">
        <f t="shared" si="25"/>
        <v>0</v>
      </c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</row>
    <row r="115" spans="1:16" outlineLevel="1" x14ac:dyDescent="0.3">
      <c r="A115" s="19" t="s">
        <v>154</v>
      </c>
      <c r="B115" s="72" t="s">
        <v>147</v>
      </c>
      <c r="C115" s="73">
        <v>5116111</v>
      </c>
      <c r="D115" s="74">
        <f t="shared" si="25"/>
        <v>0</v>
      </c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</row>
    <row r="116" spans="1:16" x14ac:dyDescent="0.3">
      <c r="A116" s="15" t="s">
        <v>155</v>
      </c>
      <c r="B116" s="75" t="s">
        <v>3</v>
      </c>
      <c r="C116" s="76"/>
      <c r="D116" s="77">
        <f t="shared" ref="D116:P116" si="26">D117</f>
        <v>0</v>
      </c>
      <c r="E116" s="77">
        <f t="shared" si="26"/>
        <v>0</v>
      </c>
      <c r="F116" s="77">
        <f t="shared" si="26"/>
        <v>0</v>
      </c>
      <c r="G116" s="77">
        <f t="shared" si="26"/>
        <v>0</v>
      </c>
      <c r="H116" s="77">
        <f t="shared" si="26"/>
        <v>0</v>
      </c>
      <c r="I116" s="77">
        <f t="shared" si="26"/>
        <v>0</v>
      </c>
      <c r="J116" s="77">
        <f t="shared" si="26"/>
        <v>0</v>
      </c>
      <c r="K116" s="77">
        <f t="shared" si="26"/>
        <v>0</v>
      </c>
      <c r="L116" s="77">
        <f t="shared" si="26"/>
        <v>0</v>
      </c>
      <c r="M116" s="77">
        <f t="shared" si="26"/>
        <v>0</v>
      </c>
      <c r="N116" s="77">
        <f t="shared" si="26"/>
        <v>0</v>
      </c>
      <c r="O116" s="77">
        <f t="shared" si="26"/>
        <v>0</v>
      </c>
      <c r="P116" s="77">
        <f t="shared" si="26"/>
        <v>0</v>
      </c>
    </row>
    <row r="117" spans="1:16" outlineLevel="1" x14ac:dyDescent="0.3">
      <c r="A117" s="19" t="s">
        <v>156</v>
      </c>
      <c r="B117" s="72" t="s">
        <v>157</v>
      </c>
      <c r="C117" s="73">
        <v>5117110</v>
      </c>
      <c r="D117" s="74">
        <f>SUM(E117:P117)</f>
        <v>0</v>
      </c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</row>
    <row r="118" spans="1:16" x14ac:dyDescent="0.3">
      <c r="A118" s="15" t="s">
        <v>158</v>
      </c>
      <c r="B118" s="75" t="s">
        <v>3</v>
      </c>
      <c r="C118" s="76"/>
      <c r="D118" s="77">
        <f t="shared" ref="D118:P118" si="27">SUM(D119:D123)</f>
        <v>6000000</v>
      </c>
      <c r="E118" s="77">
        <f t="shared" si="27"/>
        <v>500000</v>
      </c>
      <c r="F118" s="77">
        <f t="shared" si="27"/>
        <v>500000</v>
      </c>
      <c r="G118" s="77">
        <f t="shared" si="27"/>
        <v>500000</v>
      </c>
      <c r="H118" s="77">
        <f t="shared" si="27"/>
        <v>500000</v>
      </c>
      <c r="I118" s="77">
        <f t="shared" si="27"/>
        <v>500000</v>
      </c>
      <c r="J118" s="77">
        <f t="shared" si="27"/>
        <v>500000</v>
      </c>
      <c r="K118" s="77">
        <f t="shared" si="27"/>
        <v>500000</v>
      </c>
      <c r="L118" s="77">
        <f t="shared" si="27"/>
        <v>500000</v>
      </c>
      <c r="M118" s="77">
        <f t="shared" si="27"/>
        <v>500000</v>
      </c>
      <c r="N118" s="77">
        <f t="shared" si="27"/>
        <v>500000</v>
      </c>
      <c r="O118" s="77">
        <f t="shared" si="27"/>
        <v>500000</v>
      </c>
      <c r="P118" s="77">
        <f t="shared" si="27"/>
        <v>500000</v>
      </c>
    </row>
    <row r="119" spans="1:16" outlineLevel="1" x14ac:dyDescent="0.3">
      <c r="A119" s="19" t="s">
        <v>159</v>
      </c>
      <c r="B119" s="72" t="s">
        <v>160</v>
      </c>
      <c r="C119" s="73">
        <v>5118110</v>
      </c>
      <c r="D119" s="74">
        <f>SUM(E119:P119)</f>
        <v>0</v>
      </c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</row>
    <row r="120" spans="1:16" outlineLevel="1" x14ac:dyDescent="0.3">
      <c r="A120" s="19" t="s">
        <v>161</v>
      </c>
      <c r="B120" s="72" t="s">
        <v>162</v>
      </c>
      <c r="C120" s="73">
        <v>5118120</v>
      </c>
      <c r="D120" s="74">
        <f>SUM(E120:P120)</f>
        <v>0</v>
      </c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1" spans="1:16" s="81" customFormat="1" outlineLevel="1" x14ac:dyDescent="0.3">
      <c r="A121" s="32" t="s">
        <v>163</v>
      </c>
      <c r="B121" s="78" t="s">
        <v>164</v>
      </c>
      <c r="C121" s="79">
        <v>5118130</v>
      </c>
      <c r="D121" s="80">
        <f>SUM(E121:P121)</f>
        <v>6000000</v>
      </c>
      <c r="E121" s="80">
        <v>500000</v>
      </c>
      <c r="F121" s="80">
        <v>500000</v>
      </c>
      <c r="G121" s="80">
        <v>500000</v>
      </c>
      <c r="H121" s="80">
        <v>500000</v>
      </c>
      <c r="I121" s="80">
        <v>500000</v>
      </c>
      <c r="J121" s="80">
        <v>500000</v>
      </c>
      <c r="K121" s="80">
        <v>500000</v>
      </c>
      <c r="L121" s="80">
        <v>500000</v>
      </c>
      <c r="M121" s="80">
        <v>500000</v>
      </c>
      <c r="N121" s="80">
        <v>500000</v>
      </c>
      <c r="O121" s="80">
        <v>500000</v>
      </c>
      <c r="P121" s="80">
        <v>500000</v>
      </c>
    </row>
    <row r="122" spans="1:16" outlineLevel="1" x14ac:dyDescent="0.3">
      <c r="A122" s="19" t="s">
        <v>165</v>
      </c>
      <c r="B122" s="72" t="s">
        <v>3</v>
      </c>
      <c r="C122" s="73">
        <v>5118140</v>
      </c>
      <c r="D122" s="74">
        <f>SUM(E122:P122)</f>
        <v>0</v>
      </c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</row>
    <row r="123" spans="1:16" outlineLevel="1" x14ac:dyDescent="0.3">
      <c r="A123" s="19" t="s">
        <v>166</v>
      </c>
      <c r="B123" s="72" t="s">
        <v>3</v>
      </c>
      <c r="C123" s="73">
        <v>5118150</v>
      </c>
      <c r="D123" s="74">
        <f>SUM(E123:P123)</f>
        <v>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</row>
    <row r="124" spans="1:16" x14ac:dyDescent="0.3">
      <c r="A124" s="15" t="s">
        <v>167</v>
      </c>
      <c r="B124" s="75" t="s">
        <v>3</v>
      </c>
      <c r="C124" s="76"/>
      <c r="D124" s="77">
        <f t="shared" ref="D124:P124" si="28">SUM(D125:D126)</f>
        <v>5664000</v>
      </c>
      <c r="E124" s="77">
        <f t="shared" si="28"/>
        <v>472000</v>
      </c>
      <c r="F124" s="77">
        <f t="shared" si="28"/>
        <v>472000</v>
      </c>
      <c r="G124" s="77">
        <f t="shared" si="28"/>
        <v>472000</v>
      </c>
      <c r="H124" s="77">
        <f t="shared" si="28"/>
        <v>472000</v>
      </c>
      <c r="I124" s="77">
        <f t="shared" si="28"/>
        <v>472000</v>
      </c>
      <c r="J124" s="77">
        <f t="shared" si="28"/>
        <v>472000</v>
      </c>
      <c r="K124" s="77">
        <f t="shared" si="28"/>
        <v>472000</v>
      </c>
      <c r="L124" s="77">
        <f t="shared" si="28"/>
        <v>472000</v>
      </c>
      <c r="M124" s="77">
        <f t="shared" si="28"/>
        <v>472000</v>
      </c>
      <c r="N124" s="77">
        <f t="shared" si="28"/>
        <v>472000</v>
      </c>
      <c r="O124" s="77">
        <f t="shared" si="28"/>
        <v>472000</v>
      </c>
      <c r="P124" s="77">
        <f t="shared" si="28"/>
        <v>472000</v>
      </c>
    </row>
    <row r="125" spans="1:16" s="81" customFormat="1" outlineLevel="1" x14ac:dyDescent="0.3">
      <c r="A125" s="32" t="s">
        <v>168</v>
      </c>
      <c r="B125" s="78" t="s">
        <v>169</v>
      </c>
      <c r="C125" s="79">
        <v>5130110</v>
      </c>
      <c r="D125" s="80">
        <f>SUM(E125:P125)</f>
        <v>4800000</v>
      </c>
      <c r="E125" s="80">
        <v>400000</v>
      </c>
      <c r="F125" s="80">
        <v>400000</v>
      </c>
      <c r="G125" s="80">
        <v>400000</v>
      </c>
      <c r="H125" s="80">
        <v>400000</v>
      </c>
      <c r="I125" s="80">
        <v>400000</v>
      </c>
      <c r="J125" s="80">
        <v>400000</v>
      </c>
      <c r="K125" s="80">
        <v>400000</v>
      </c>
      <c r="L125" s="80">
        <v>400000</v>
      </c>
      <c r="M125" s="80">
        <v>400000</v>
      </c>
      <c r="N125" s="80">
        <v>400000</v>
      </c>
      <c r="O125" s="80">
        <v>400000</v>
      </c>
      <c r="P125" s="80">
        <v>400000</v>
      </c>
    </row>
    <row r="126" spans="1:16" s="81" customFormat="1" outlineLevel="1" x14ac:dyDescent="0.3">
      <c r="A126" s="32" t="s">
        <v>170</v>
      </c>
      <c r="B126" s="78" t="s">
        <v>171</v>
      </c>
      <c r="C126" s="79">
        <v>5130120</v>
      </c>
      <c r="D126" s="80">
        <f>SUM(E126:P126)</f>
        <v>864000</v>
      </c>
      <c r="E126" s="80">
        <v>72000</v>
      </c>
      <c r="F126" s="80">
        <v>72000</v>
      </c>
      <c r="G126" s="80">
        <v>72000</v>
      </c>
      <c r="H126" s="80">
        <v>72000</v>
      </c>
      <c r="I126" s="80">
        <v>72000</v>
      </c>
      <c r="J126" s="80">
        <v>72000</v>
      </c>
      <c r="K126" s="80">
        <v>72000</v>
      </c>
      <c r="L126" s="80">
        <v>72000</v>
      </c>
      <c r="M126" s="80">
        <v>72000</v>
      </c>
      <c r="N126" s="80">
        <v>72000</v>
      </c>
      <c r="O126" s="80">
        <v>72000</v>
      </c>
      <c r="P126" s="80">
        <v>72000</v>
      </c>
    </row>
    <row r="127" spans="1:16" x14ac:dyDescent="0.3">
      <c r="A127" s="15" t="s">
        <v>172</v>
      </c>
      <c r="B127" s="75" t="s">
        <v>3</v>
      </c>
      <c r="C127" s="76"/>
      <c r="D127" s="77">
        <f t="shared" ref="D127:P127" si="29">SUM(D128:D135)</f>
        <v>4200000</v>
      </c>
      <c r="E127" s="77">
        <f t="shared" si="29"/>
        <v>250000</v>
      </c>
      <c r="F127" s="77">
        <f t="shared" si="29"/>
        <v>250000</v>
      </c>
      <c r="G127" s="77">
        <f t="shared" si="29"/>
        <v>550000</v>
      </c>
      <c r="H127" s="77">
        <f t="shared" si="29"/>
        <v>250000</v>
      </c>
      <c r="I127" s="77">
        <f t="shared" si="29"/>
        <v>250000</v>
      </c>
      <c r="J127" s="77">
        <f t="shared" si="29"/>
        <v>550000</v>
      </c>
      <c r="K127" s="77">
        <f t="shared" si="29"/>
        <v>250000</v>
      </c>
      <c r="L127" s="77">
        <f t="shared" si="29"/>
        <v>250000</v>
      </c>
      <c r="M127" s="77">
        <f t="shared" si="29"/>
        <v>550000</v>
      </c>
      <c r="N127" s="77">
        <f t="shared" si="29"/>
        <v>250000</v>
      </c>
      <c r="O127" s="77">
        <f t="shared" si="29"/>
        <v>250000</v>
      </c>
      <c r="P127" s="77">
        <f t="shared" si="29"/>
        <v>550000</v>
      </c>
    </row>
    <row r="128" spans="1:16" s="81" customFormat="1" ht="15.75" customHeight="1" outlineLevel="1" x14ac:dyDescent="0.3">
      <c r="A128" s="32" t="s">
        <v>173</v>
      </c>
      <c r="B128" s="78" t="s">
        <v>174</v>
      </c>
      <c r="C128" s="79">
        <v>5119110</v>
      </c>
      <c r="D128" s="80">
        <f t="shared" ref="D128:D135" si="30">SUM(E128:P128)</f>
        <v>1800000</v>
      </c>
      <c r="E128" s="80">
        <v>150000</v>
      </c>
      <c r="F128" s="80">
        <v>150000</v>
      </c>
      <c r="G128" s="80">
        <v>150000</v>
      </c>
      <c r="H128" s="80">
        <v>150000</v>
      </c>
      <c r="I128" s="80">
        <v>150000</v>
      </c>
      <c r="J128" s="80">
        <v>150000</v>
      </c>
      <c r="K128" s="80">
        <v>150000</v>
      </c>
      <c r="L128" s="80">
        <v>150000</v>
      </c>
      <c r="M128" s="80">
        <v>150000</v>
      </c>
      <c r="N128" s="80">
        <v>150000</v>
      </c>
      <c r="O128" s="80">
        <v>150000</v>
      </c>
      <c r="P128" s="80">
        <v>150000</v>
      </c>
    </row>
    <row r="129" spans="1:16" s="81" customFormat="1" outlineLevel="1" x14ac:dyDescent="0.3">
      <c r="A129" s="32" t="s">
        <v>175</v>
      </c>
      <c r="B129" s="78" t="s">
        <v>176</v>
      </c>
      <c r="C129" s="79">
        <v>5119120</v>
      </c>
      <c r="D129" s="80">
        <f t="shared" si="30"/>
        <v>0</v>
      </c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</row>
    <row r="130" spans="1:16" s="81" customFormat="1" outlineLevel="1" x14ac:dyDescent="0.3">
      <c r="A130" s="32" t="s">
        <v>177</v>
      </c>
      <c r="B130" s="78" t="s">
        <v>178</v>
      </c>
      <c r="C130" s="79">
        <v>5119130</v>
      </c>
      <c r="D130" s="80">
        <f t="shared" si="30"/>
        <v>0</v>
      </c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</row>
    <row r="131" spans="1:16" s="81" customFormat="1" outlineLevel="1" x14ac:dyDescent="0.3">
      <c r="A131" s="32" t="s">
        <v>179</v>
      </c>
      <c r="B131" s="78" t="s">
        <v>180</v>
      </c>
      <c r="C131" s="79">
        <v>5119140</v>
      </c>
      <c r="D131" s="80">
        <f t="shared" si="30"/>
        <v>0</v>
      </c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</row>
    <row r="132" spans="1:16" s="81" customFormat="1" outlineLevel="1" x14ac:dyDescent="0.3">
      <c r="A132" s="32" t="s">
        <v>181</v>
      </c>
      <c r="B132" s="78" t="s">
        <v>182</v>
      </c>
      <c r="C132" s="79">
        <v>5119150</v>
      </c>
      <c r="D132" s="80">
        <f t="shared" si="30"/>
        <v>1200000</v>
      </c>
      <c r="E132" s="80">
        <v>100000</v>
      </c>
      <c r="F132" s="80">
        <v>100000</v>
      </c>
      <c r="G132" s="80">
        <v>100000</v>
      </c>
      <c r="H132" s="80">
        <v>100000</v>
      </c>
      <c r="I132" s="80">
        <v>100000</v>
      </c>
      <c r="J132" s="80">
        <v>100000</v>
      </c>
      <c r="K132" s="80">
        <v>100000</v>
      </c>
      <c r="L132" s="80">
        <v>100000</v>
      </c>
      <c r="M132" s="80">
        <v>100000</v>
      </c>
      <c r="N132" s="80">
        <v>100000</v>
      </c>
      <c r="O132" s="80">
        <v>100000</v>
      </c>
      <c r="P132" s="80">
        <v>100000</v>
      </c>
    </row>
    <row r="133" spans="1:16" outlineLevel="1" x14ac:dyDescent="0.3">
      <c r="A133" s="19" t="s">
        <v>183</v>
      </c>
      <c r="B133" s="72" t="s">
        <v>184</v>
      </c>
      <c r="C133" s="73">
        <v>5119160</v>
      </c>
      <c r="D133" s="74">
        <f t="shared" si="30"/>
        <v>0</v>
      </c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</row>
    <row r="134" spans="1:16" outlineLevel="1" x14ac:dyDescent="0.3">
      <c r="A134" s="19" t="s">
        <v>185</v>
      </c>
      <c r="B134" s="72" t="s">
        <v>185</v>
      </c>
      <c r="C134" s="73">
        <v>5119121</v>
      </c>
      <c r="D134" s="74">
        <f t="shared" si="30"/>
        <v>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</row>
    <row r="135" spans="1:16" outlineLevel="1" x14ac:dyDescent="0.3">
      <c r="A135" s="19" t="s">
        <v>186</v>
      </c>
      <c r="B135" s="78" t="s">
        <v>187</v>
      </c>
      <c r="C135" s="73">
        <v>5119151</v>
      </c>
      <c r="D135" s="74">
        <f t="shared" si="30"/>
        <v>1200000</v>
      </c>
      <c r="E135" s="74">
        <v>0</v>
      </c>
      <c r="F135" s="74">
        <v>0</v>
      </c>
      <c r="G135" s="74">
        <v>300000</v>
      </c>
      <c r="H135" s="74">
        <v>0</v>
      </c>
      <c r="I135" s="74">
        <v>0</v>
      </c>
      <c r="J135" s="74">
        <v>300000</v>
      </c>
      <c r="K135" s="74">
        <v>0</v>
      </c>
      <c r="L135" s="74">
        <v>0</v>
      </c>
      <c r="M135" s="74">
        <v>300000</v>
      </c>
      <c r="N135" s="74">
        <v>0</v>
      </c>
      <c r="O135" s="74">
        <v>0</v>
      </c>
      <c r="P135" s="74">
        <v>300000</v>
      </c>
    </row>
    <row r="136" spans="1:16" x14ac:dyDescent="0.3">
      <c r="A136" s="15" t="s">
        <v>188</v>
      </c>
      <c r="B136" s="75" t="s">
        <v>3</v>
      </c>
      <c r="C136" s="76"/>
      <c r="D136" s="77">
        <f t="shared" ref="D136:P136" si="31">SUM(D137:D140)</f>
        <v>4000000</v>
      </c>
      <c r="E136" s="77">
        <f t="shared" si="31"/>
        <v>0</v>
      </c>
      <c r="F136" s="77">
        <f t="shared" si="31"/>
        <v>0</v>
      </c>
      <c r="G136" s="77">
        <f t="shared" si="31"/>
        <v>1000000</v>
      </c>
      <c r="H136" s="77">
        <f t="shared" si="31"/>
        <v>0</v>
      </c>
      <c r="I136" s="77">
        <f t="shared" si="31"/>
        <v>0</v>
      </c>
      <c r="J136" s="77">
        <f t="shared" si="31"/>
        <v>1000000</v>
      </c>
      <c r="K136" s="77">
        <f t="shared" si="31"/>
        <v>0</v>
      </c>
      <c r="L136" s="77">
        <f t="shared" si="31"/>
        <v>0</v>
      </c>
      <c r="M136" s="77">
        <f t="shared" si="31"/>
        <v>1000000</v>
      </c>
      <c r="N136" s="77">
        <f t="shared" si="31"/>
        <v>0</v>
      </c>
      <c r="O136" s="77">
        <f t="shared" si="31"/>
        <v>0</v>
      </c>
      <c r="P136" s="77">
        <f t="shared" si="31"/>
        <v>1000000</v>
      </c>
    </row>
    <row r="137" spans="1:16" outlineLevel="1" x14ac:dyDescent="0.3">
      <c r="A137" s="19" t="s">
        <v>189</v>
      </c>
      <c r="B137" s="72" t="s">
        <v>190</v>
      </c>
      <c r="C137" s="73">
        <v>5120110</v>
      </c>
      <c r="D137" s="74">
        <f>SUM(E137:P137)</f>
        <v>0</v>
      </c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</row>
    <row r="138" spans="1:16" s="81" customFormat="1" outlineLevel="1" x14ac:dyDescent="0.3">
      <c r="A138" s="83" t="s">
        <v>191</v>
      </c>
      <c r="B138" s="78" t="s">
        <v>190</v>
      </c>
      <c r="C138" s="79">
        <v>5120140</v>
      </c>
      <c r="D138" s="80">
        <f>SUM(E138:P138)</f>
        <v>4000000</v>
      </c>
      <c r="E138" s="80">
        <v>0</v>
      </c>
      <c r="F138" s="80">
        <v>0</v>
      </c>
      <c r="G138" s="80">
        <v>1000000</v>
      </c>
      <c r="H138" s="80">
        <v>0</v>
      </c>
      <c r="I138" s="80">
        <v>0</v>
      </c>
      <c r="J138" s="80">
        <v>1000000</v>
      </c>
      <c r="K138" s="80">
        <v>0</v>
      </c>
      <c r="L138" s="80">
        <v>0</v>
      </c>
      <c r="M138" s="80">
        <v>1000000</v>
      </c>
      <c r="N138" s="80">
        <v>0</v>
      </c>
      <c r="O138" s="80">
        <v>0</v>
      </c>
      <c r="P138" s="80">
        <v>1000000</v>
      </c>
    </row>
    <row r="139" spans="1:16" outlineLevel="1" x14ac:dyDescent="0.3">
      <c r="A139" s="22" t="s">
        <v>192</v>
      </c>
      <c r="B139" s="72" t="s">
        <v>190</v>
      </c>
      <c r="C139" s="73">
        <v>5120130</v>
      </c>
      <c r="D139" s="74">
        <f>SUM(E139:P139)</f>
        <v>0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</row>
    <row r="140" spans="1:16" outlineLevel="1" x14ac:dyDescent="0.3">
      <c r="A140" s="19" t="s">
        <v>193</v>
      </c>
      <c r="B140" s="72" t="s">
        <v>190</v>
      </c>
      <c r="C140" s="73">
        <v>5120120</v>
      </c>
      <c r="D140" s="74">
        <f>SUM(E140:P140)</f>
        <v>0</v>
      </c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</row>
    <row r="141" spans="1:16" x14ac:dyDescent="0.3">
      <c r="A141" s="15" t="s">
        <v>194</v>
      </c>
      <c r="B141" s="75" t="s">
        <v>3</v>
      </c>
      <c r="C141" s="76"/>
      <c r="D141" s="77">
        <f t="shared" ref="D141:P141" si="32">SUM(D142:D145)</f>
        <v>40000000</v>
      </c>
      <c r="E141" s="77">
        <f t="shared" si="32"/>
        <v>0</v>
      </c>
      <c r="F141" s="77">
        <f t="shared" si="32"/>
        <v>0</v>
      </c>
      <c r="G141" s="77">
        <f t="shared" si="32"/>
        <v>0</v>
      </c>
      <c r="H141" s="77">
        <f t="shared" si="32"/>
        <v>0</v>
      </c>
      <c r="I141" s="77">
        <f t="shared" si="32"/>
        <v>0</v>
      </c>
      <c r="J141" s="77">
        <f t="shared" si="32"/>
        <v>0</v>
      </c>
      <c r="K141" s="77">
        <f t="shared" si="32"/>
        <v>0</v>
      </c>
      <c r="L141" s="77">
        <f t="shared" si="32"/>
        <v>0</v>
      </c>
      <c r="M141" s="77">
        <f t="shared" si="32"/>
        <v>0</v>
      </c>
      <c r="N141" s="77">
        <f t="shared" si="32"/>
        <v>0</v>
      </c>
      <c r="O141" s="77">
        <f t="shared" si="32"/>
        <v>0</v>
      </c>
      <c r="P141" s="77">
        <f t="shared" si="32"/>
        <v>40000000</v>
      </c>
    </row>
    <row r="142" spans="1:16" outlineLevel="1" x14ac:dyDescent="0.3">
      <c r="A142" s="19" t="s">
        <v>195</v>
      </c>
      <c r="B142" s="72" t="s">
        <v>195</v>
      </c>
      <c r="C142" s="73">
        <v>5121110</v>
      </c>
      <c r="D142" s="74">
        <f>SUM(E142:P142)</f>
        <v>0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</row>
    <row r="143" spans="1:16" outlineLevel="1" x14ac:dyDescent="0.3">
      <c r="A143" s="19" t="s">
        <v>196</v>
      </c>
      <c r="B143" s="72" t="s">
        <v>196</v>
      </c>
      <c r="C143" s="73">
        <v>5121120</v>
      </c>
      <c r="D143" s="74">
        <f>SUM(E143:P143)</f>
        <v>0</v>
      </c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</row>
    <row r="144" spans="1:16" outlineLevel="1" x14ac:dyDescent="0.3">
      <c r="A144" s="19" t="s">
        <v>197</v>
      </c>
      <c r="B144" s="72" t="s">
        <v>197</v>
      </c>
      <c r="C144" s="73">
        <v>5121140</v>
      </c>
      <c r="D144" s="74">
        <f>SUM(E144:P144)</f>
        <v>0</v>
      </c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</row>
    <row r="145" spans="1:16" outlineLevel="1" x14ac:dyDescent="0.3">
      <c r="A145" s="19" t="s">
        <v>198</v>
      </c>
      <c r="B145" s="72" t="s">
        <v>199</v>
      </c>
      <c r="C145" s="73">
        <v>5121150</v>
      </c>
      <c r="D145" s="74">
        <f>SUM(E145:P145)</f>
        <v>40000000</v>
      </c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>
        <v>40000000</v>
      </c>
    </row>
    <row r="146" spans="1:16" x14ac:dyDescent="0.3">
      <c r="A146" s="15" t="s">
        <v>200</v>
      </c>
      <c r="B146" s="75" t="s">
        <v>3</v>
      </c>
      <c r="C146" s="76"/>
      <c r="D146" s="77">
        <f t="shared" ref="D146:P146" si="33">SUM(D147:D150)</f>
        <v>40800000</v>
      </c>
      <c r="E146" s="77">
        <f t="shared" si="33"/>
        <v>0</v>
      </c>
      <c r="F146" s="77">
        <f t="shared" si="33"/>
        <v>0</v>
      </c>
      <c r="G146" s="77">
        <f t="shared" si="33"/>
        <v>10200000</v>
      </c>
      <c r="H146" s="77">
        <f t="shared" si="33"/>
        <v>0</v>
      </c>
      <c r="I146" s="77">
        <f t="shared" si="33"/>
        <v>0</v>
      </c>
      <c r="J146" s="77">
        <f t="shared" si="33"/>
        <v>10200000</v>
      </c>
      <c r="K146" s="77">
        <f t="shared" si="33"/>
        <v>0</v>
      </c>
      <c r="L146" s="77">
        <f t="shared" si="33"/>
        <v>0</v>
      </c>
      <c r="M146" s="77">
        <f t="shared" si="33"/>
        <v>10200000</v>
      </c>
      <c r="N146" s="77">
        <f t="shared" si="33"/>
        <v>0</v>
      </c>
      <c r="O146" s="77">
        <f t="shared" si="33"/>
        <v>0</v>
      </c>
      <c r="P146" s="77">
        <f t="shared" si="33"/>
        <v>10200000</v>
      </c>
    </row>
    <row r="147" spans="1:16" outlineLevel="1" x14ac:dyDescent="0.3">
      <c r="A147" s="19" t="s">
        <v>201</v>
      </c>
      <c r="B147" s="72" t="s">
        <v>202</v>
      </c>
      <c r="C147" s="73">
        <v>5122110</v>
      </c>
      <c r="D147" s="74">
        <f>SUM(E147:P147)</f>
        <v>0</v>
      </c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</row>
    <row r="148" spans="1:16" outlineLevel="1" x14ac:dyDescent="0.3">
      <c r="A148" s="19" t="s">
        <v>203</v>
      </c>
      <c r="B148" s="72" t="s">
        <v>204</v>
      </c>
      <c r="C148" s="73">
        <v>5122120</v>
      </c>
      <c r="D148" s="74">
        <f>SUM(E148:P148)</f>
        <v>0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</row>
    <row r="149" spans="1:16" outlineLevel="1" x14ac:dyDescent="0.3">
      <c r="A149" s="22" t="s">
        <v>205</v>
      </c>
      <c r="B149" s="72" t="s">
        <v>206</v>
      </c>
      <c r="C149" s="73">
        <v>5122130</v>
      </c>
      <c r="D149" s="74">
        <f>SUM(E149:P149)</f>
        <v>0</v>
      </c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</row>
    <row r="150" spans="1:16" s="81" customFormat="1" outlineLevel="1" x14ac:dyDescent="0.3">
      <c r="A150" s="32" t="s">
        <v>207</v>
      </c>
      <c r="B150" s="78" t="s">
        <v>208</v>
      </c>
      <c r="C150" s="79">
        <v>5122140</v>
      </c>
      <c r="D150" s="80">
        <f>SUM(E150:P150)</f>
        <v>40800000</v>
      </c>
      <c r="E150" s="80">
        <v>0</v>
      </c>
      <c r="F150" s="80">
        <v>0</v>
      </c>
      <c r="G150" s="80">
        <v>10200000</v>
      </c>
      <c r="H150" s="80">
        <v>0</v>
      </c>
      <c r="I150" s="80">
        <v>0</v>
      </c>
      <c r="J150" s="80">
        <v>10200000</v>
      </c>
      <c r="K150" s="80">
        <v>0</v>
      </c>
      <c r="L150" s="80">
        <v>0</v>
      </c>
      <c r="M150" s="80">
        <v>10200000</v>
      </c>
      <c r="N150" s="80">
        <v>0</v>
      </c>
      <c r="O150" s="80">
        <v>0</v>
      </c>
      <c r="P150" s="80">
        <v>10200000</v>
      </c>
    </row>
    <row r="151" spans="1:16" x14ac:dyDescent="0.3">
      <c r="A151" s="15" t="s">
        <v>209</v>
      </c>
      <c r="B151" s="75" t="s">
        <v>3</v>
      </c>
      <c r="C151" s="76"/>
      <c r="D151" s="77">
        <f t="shared" ref="D151:P151" si="34">SUM(D152:D154)</f>
        <v>0</v>
      </c>
      <c r="E151" s="77">
        <f t="shared" si="34"/>
        <v>0</v>
      </c>
      <c r="F151" s="77">
        <f t="shared" si="34"/>
        <v>0</v>
      </c>
      <c r="G151" s="77">
        <f t="shared" si="34"/>
        <v>0</v>
      </c>
      <c r="H151" s="77">
        <f t="shared" si="34"/>
        <v>0</v>
      </c>
      <c r="I151" s="77">
        <f t="shared" si="34"/>
        <v>0</v>
      </c>
      <c r="J151" s="77">
        <f t="shared" si="34"/>
        <v>0</v>
      </c>
      <c r="K151" s="77">
        <f t="shared" si="34"/>
        <v>0</v>
      </c>
      <c r="L151" s="77">
        <f t="shared" si="34"/>
        <v>0</v>
      </c>
      <c r="M151" s="77">
        <f t="shared" si="34"/>
        <v>0</v>
      </c>
      <c r="N151" s="77">
        <f t="shared" si="34"/>
        <v>0</v>
      </c>
      <c r="O151" s="77">
        <f t="shared" si="34"/>
        <v>0</v>
      </c>
      <c r="P151" s="77">
        <f t="shared" si="34"/>
        <v>0</v>
      </c>
    </row>
    <row r="152" spans="1:16" outlineLevel="1" x14ac:dyDescent="0.3">
      <c r="A152" s="19" t="s">
        <v>210</v>
      </c>
      <c r="B152" s="72" t="s">
        <v>211</v>
      </c>
      <c r="C152" s="73">
        <v>5123110</v>
      </c>
      <c r="D152" s="74">
        <f>SUM(E152:P152)</f>
        <v>0</v>
      </c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</row>
    <row r="153" spans="1:16" outlineLevel="1" x14ac:dyDescent="0.3">
      <c r="A153" s="19" t="s">
        <v>212</v>
      </c>
      <c r="B153" s="72" t="s">
        <v>213</v>
      </c>
      <c r="C153" s="73">
        <v>5123120</v>
      </c>
      <c r="D153" s="74">
        <f>SUM(E153:P153)</f>
        <v>0</v>
      </c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</row>
    <row r="154" spans="1:16" outlineLevel="1" x14ac:dyDescent="0.3">
      <c r="A154" s="34" t="s">
        <v>214</v>
      </c>
      <c r="B154" s="84" t="s">
        <v>215</v>
      </c>
      <c r="C154" s="85">
        <v>5123130</v>
      </c>
      <c r="D154" s="86">
        <f>SUM(E154:P154)</f>
        <v>0</v>
      </c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SM_SMF</vt:lpstr>
      <vt:lpstr>SM_SAO</vt:lpstr>
      <vt:lpstr>SM_SVO</vt:lpstr>
      <vt:lpstr>SM_SDO</vt:lpstr>
      <vt:lpstr>SM_SHO</vt:lpstr>
      <vt:lpstr>SM_QSF</vt:lpstr>
      <vt:lpstr>SM_SQA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2025-10-16T13:05:35Z</dcterms:created>
  <dcterms:modified xsi:type="dcterms:W3CDTF">2026-08-24T05:32:21Z</dcterms:modified>
</cp:coreProperties>
</file>