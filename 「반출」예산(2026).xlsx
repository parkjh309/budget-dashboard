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1.예산\26년도 예산\"/>
    </mc:Choice>
  </mc:AlternateContent>
  <xr:revisionPtr revIDLastSave="0" documentId="13_ncr:1_{29D3658D-F738-4156-BF15-7FBCAA248081}" xr6:coauthVersionLast="36" xr6:coauthVersionMax="36" xr10:uidLastSave="{00000000-0000-0000-0000-000000000000}"/>
  <bookViews>
    <workbookView xWindow="0" yWindow="0" windowWidth="28800" windowHeight="10080" xr2:uid="{13969A9B-7AB8-470A-9D3C-7AF6CB88BFCF}"/>
  </bookViews>
  <sheets>
    <sheet name="SM_SMF" sheetId="33" r:id="rId1"/>
    <sheet name="SM_SAO" sheetId="34" r:id="rId2"/>
    <sheet name="SM_SVO" sheetId="35" r:id="rId3"/>
    <sheet name="SM_SDO" sheetId="36" r:id="rId4"/>
    <sheet name="SM_SHO" sheetId="37" r:id="rId5"/>
    <sheet name="SM_QSF" sheetId="38" r:id="rId6"/>
    <sheet name="SM_SQA" sheetId="3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6" i="39" l="1"/>
  <c r="F175" i="39"/>
  <c r="F174" i="39"/>
  <c r="R173" i="39"/>
  <c r="Q173" i="39"/>
  <c r="P173" i="39"/>
  <c r="O173" i="39"/>
  <c r="N173" i="39"/>
  <c r="M173" i="39"/>
  <c r="L173" i="39"/>
  <c r="K173" i="39"/>
  <c r="J173" i="39"/>
  <c r="I173" i="39"/>
  <c r="H173" i="39"/>
  <c r="G173" i="39"/>
  <c r="F172" i="39"/>
  <c r="F171" i="39"/>
  <c r="F170" i="39"/>
  <c r="F169" i="39"/>
  <c r="R168" i="39"/>
  <c r="Q168" i="39"/>
  <c r="P168" i="39"/>
  <c r="O168" i="39"/>
  <c r="N168" i="39"/>
  <c r="M168" i="39"/>
  <c r="L168" i="39"/>
  <c r="K168" i="39"/>
  <c r="J168" i="39"/>
  <c r="I168" i="39"/>
  <c r="H168" i="39"/>
  <c r="G168" i="39"/>
  <c r="F167" i="39"/>
  <c r="F166" i="39"/>
  <c r="F165" i="39"/>
  <c r="F164" i="39"/>
  <c r="R163" i="39"/>
  <c r="Q163" i="39"/>
  <c r="P163" i="39"/>
  <c r="O163" i="39"/>
  <c r="N163" i="39"/>
  <c r="M163" i="39"/>
  <c r="L163" i="39"/>
  <c r="K163" i="39"/>
  <c r="J163" i="39"/>
  <c r="I163" i="39"/>
  <c r="H163" i="39"/>
  <c r="G163" i="39"/>
  <c r="F162" i="39"/>
  <c r="F161" i="39"/>
  <c r="F160" i="39"/>
  <c r="F159" i="39"/>
  <c r="R158" i="39"/>
  <c r="Q158" i="39"/>
  <c r="P158" i="39"/>
  <c r="O158" i="39"/>
  <c r="N158" i="39"/>
  <c r="M158" i="39"/>
  <c r="L158" i="39"/>
  <c r="K158" i="39"/>
  <c r="J158" i="39"/>
  <c r="I158" i="39"/>
  <c r="H158" i="39"/>
  <c r="G158" i="39"/>
  <c r="F157" i="39"/>
  <c r="F156" i="39"/>
  <c r="F155" i="39"/>
  <c r="F154" i="39"/>
  <c r="F153" i="39"/>
  <c r="F152" i="39"/>
  <c r="F151" i="39"/>
  <c r="F150" i="39"/>
  <c r="R149" i="39"/>
  <c r="Q149" i="39"/>
  <c r="P149" i="39"/>
  <c r="O149" i="39"/>
  <c r="N149" i="39"/>
  <c r="M149" i="39"/>
  <c r="L149" i="39"/>
  <c r="K149" i="39"/>
  <c r="J149" i="39"/>
  <c r="I149" i="39"/>
  <c r="H149" i="39"/>
  <c r="G149" i="39"/>
  <c r="F148" i="39"/>
  <c r="F147" i="39"/>
  <c r="F146" i="39" s="1"/>
  <c r="R146" i="39"/>
  <c r="Q146" i="39"/>
  <c r="P146" i="39"/>
  <c r="O146" i="39"/>
  <c r="N146" i="39"/>
  <c r="M146" i="39"/>
  <c r="L146" i="39"/>
  <c r="K146" i="39"/>
  <c r="J146" i="39"/>
  <c r="I146" i="39"/>
  <c r="H146" i="39"/>
  <c r="G146" i="39"/>
  <c r="F145" i="39"/>
  <c r="F144" i="39"/>
  <c r="F143" i="39"/>
  <c r="F142" i="39"/>
  <c r="F141" i="39"/>
  <c r="R140" i="39"/>
  <c r="Q140" i="39"/>
  <c r="P140" i="39"/>
  <c r="O140" i="39"/>
  <c r="N140" i="39"/>
  <c r="M140" i="39"/>
  <c r="L140" i="39"/>
  <c r="K140" i="39"/>
  <c r="J140" i="39"/>
  <c r="I140" i="39"/>
  <c r="H140" i="39"/>
  <c r="G140" i="39"/>
  <c r="F139" i="39"/>
  <c r="F138" i="39" s="1"/>
  <c r="R138" i="39"/>
  <c r="Q138" i="39"/>
  <c r="P138" i="39"/>
  <c r="O138" i="39"/>
  <c r="N138" i="39"/>
  <c r="M138" i="39"/>
  <c r="L138" i="39"/>
  <c r="K138" i="39"/>
  <c r="J138" i="39"/>
  <c r="I138" i="39"/>
  <c r="H138" i="39"/>
  <c r="G138" i="39"/>
  <c r="F137" i="39"/>
  <c r="F136" i="39"/>
  <c r="F135" i="39"/>
  <c r="F134" i="39"/>
  <c r="F133" i="39"/>
  <c r="F132" i="39"/>
  <c r="F131" i="39"/>
  <c r="R130" i="39"/>
  <c r="Q130" i="39"/>
  <c r="P130" i="39"/>
  <c r="O130" i="39"/>
  <c r="N130" i="39"/>
  <c r="M130" i="39"/>
  <c r="L130" i="39"/>
  <c r="K130" i="39"/>
  <c r="J130" i="39"/>
  <c r="I130" i="39"/>
  <c r="H130" i="39"/>
  <c r="G130" i="39"/>
  <c r="F129" i="39"/>
  <c r="F128" i="39" s="1"/>
  <c r="R128" i="39"/>
  <c r="Q128" i="39"/>
  <c r="P128" i="39"/>
  <c r="O128" i="39"/>
  <c r="N128" i="39"/>
  <c r="M128" i="39"/>
  <c r="L128" i="39"/>
  <c r="K128" i="39"/>
  <c r="J128" i="39"/>
  <c r="I128" i="39"/>
  <c r="H128" i="39"/>
  <c r="G128" i="39"/>
  <c r="F127" i="39"/>
  <c r="F126" i="39"/>
  <c r="F125" i="39"/>
  <c r="F124" i="39"/>
  <c r="F123" i="39"/>
  <c r="F122" i="39"/>
  <c r="F121" i="39"/>
  <c r="F120" i="39"/>
  <c r="F119" i="39"/>
  <c r="F118" i="39" s="1"/>
  <c r="R118" i="39"/>
  <c r="Q118" i="39"/>
  <c r="P118" i="39"/>
  <c r="O118" i="39"/>
  <c r="N118" i="39"/>
  <c r="M118" i="39"/>
  <c r="L118" i="39"/>
  <c r="K118" i="39"/>
  <c r="J118" i="39"/>
  <c r="I118" i="39"/>
  <c r="H118" i="39"/>
  <c r="G118" i="39"/>
  <c r="F117" i="39"/>
  <c r="F116" i="39"/>
  <c r="R115" i="39"/>
  <c r="Q115" i="39"/>
  <c r="P115" i="39"/>
  <c r="O115" i="39"/>
  <c r="N115" i="39"/>
  <c r="M115" i="39"/>
  <c r="L115" i="39"/>
  <c r="K115" i="39"/>
  <c r="J115" i="39"/>
  <c r="I115" i="39"/>
  <c r="H115" i="39"/>
  <c r="G115" i="39"/>
  <c r="F114" i="39"/>
  <c r="F113" i="39"/>
  <c r="F112" i="39"/>
  <c r="F111" i="39"/>
  <c r="F110" i="39"/>
  <c r="F109" i="39"/>
  <c r="F108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6" i="39"/>
  <c r="F105" i="39"/>
  <c r="F104" i="39"/>
  <c r="F103" i="39"/>
  <c r="F102" i="39"/>
  <c r="F101" i="39"/>
  <c r="R100" i="39"/>
  <c r="Q100" i="39"/>
  <c r="P100" i="39"/>
  <c r="O100" i="39"/>
  <c r="N100" i="39"/>
  <c r="M100" i="39"/>
  <c r="L100" i="39"/>
  <c r="K100" i="39"/>
  <c r="J100" i="39"/>
  <c r="I100" i="39"/>
  <c r="H100" i="39"/>
  <c r="G100" i="39"/>
  <c r="F99" i="39"/>
  <c r="F98" i="39"/>
  <c r="F97" i="39"/>
  <c r="F96" i="39"/>
  <c r="F95" i="39"/>
  <c r="F94" i="39"/>
  <c r="F93" i="39"/>
  <c r="F92" i="39"/>
  <c r="F91" i="39"/>
  <c r="F90" i="39"/>
  <c r="F89" i="39"/>
  <c r="R88" i="39"/>
  <c r="Q88" i="39"/>
  <c r="P88" i="39"/>
  <c r="O88" i="39"/>
  <c r="N88" i="39"/>
  <c r="M88" i="39"/>
  <c r="L88" i="39"/>
  <c r="K88" i="39"/>
  <c r="J88" i="39"/>
  <c r="I88" i="39"/>
  <c r="H88" i="39"/>
  <c r="G88" i="39"/>
  <c r="F87" i="39"/>
  <c r="F86" i="39"/>
  <c r="F85" i="39"/>
  <c r="F84" i="39"/>
  <c r="F83" i="39"/>
  <c r="F82" i="39"/>
  <c r="F81" i="39"/>
  <c r="F80" i="39"/>
  <c r="R79" i="39"/>
  <c r="Q79" i="39"/>
  <c r="P79" i="39"/>
  <c r="O79" i="39"/>
  <c r="N79" i="39"/>
  <c r="M79" i="39"/>
  <c r="L79" i="39"/>
  <c r="K79" i="39"/>
  <c r="J79" i="39"/>
  <c r="I79" i="39"/>
  <c r="H79" i="39"/>
  <c r="G79" i="39"/>
  <c r="F78" i="39"/>
  <c r="F77" i="39"/>
  <c r="F76" i="39"/>
  <c r="F75" i="39"/>
  <c r="F74" i="39"/>
  <c r="F73" i="39"/>
  <c r="F72" i="39"/>
  <c r="F71" i="39"/>
  <c r="F70" i="39"/>
  <c r="F69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7" i="39"/>
  <c r="F66" i="39"/>
  <c r="F65" i="39"/>
  <c r="F64" i="39"/>
  <c r="F63" i="39"/>
  <c r="F62" i="39"/>
  <c r="F61" i="39"/>
  <c r="R60" i="39"/>
  <c r="Q60" i="39"/>
  <c r="P60" i="39"/>
  <c r="O60" i="39"/>
  <c r="N60" i="39"/>
  <c r="M60" i="39"/>
  <c r="L60" i="39"/>
  <c r="K60" i="39"/>
  <c r="J60" i="39"/>
  <c r="I60" i="39"/>
  <c r="H60" i="39"/>
  <c r="G60" i="39"/>
  <c r="F59" i="39"/>
  <c r="F58" i="39"/>
  <c r="F57" i="39"/>
  <c r="F56" i="39"/>
  <c r="F55" i="39"/>
  <c r="F54" i="39"/>
  <c r="F53" i="39"/>
  <c r="F52" i="39" s="1"/>
  <c r="R52" i="39"/>
  <c r="Q52" i="39"/>
  <c r="P52" i="39"/>
  <c r="O52" i="39"/>
  <c r="N52" i="39"/>
  <c r="M52" i="39"/>
  <c r="L52" i="39"/>
  <c r="K52" i="39"/>
  <c r="J52" i="39"/>
  <c r="I52" i="39"/>
  <c r="H52" i="39"/>
  <c r="G52" i="39"/>
  <c r="F51" i="39"/>
  <c r="F50" i="39"/>
  <c r="F49" i="39"/>
  <c r="F48" i="39"/>
  <c r="F47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F45" i="39"/>
  <c r="F44" i="39"/>
  <c r="H43" i="39"/>
  <c r="I43" i="39" s="1"/>
  <c r="J43" i="39" s="1"/>
  <c r="K43" i="39" s="1"/>
  <c r="L43" i="39" s="1"/>
  <c r="M43" i="39" s="1"/>
  <c r="F42" i="39"/>
  <c r="F41" i="39"/>
  <c r="F40" i="39"/>
  <c r="F39" i="39"/>
  <c r="F38" i="39"/>
  <c r="F37" i="39"/>
  <c r="F36" i="39"/>
  <c r="F35" i="39"/>
  <c r="G27" i="39"/>
  <c r="F33" i="39"/>
  <c r="F32" i="39"/>
  <c r="F31" i="39"/>
  <c r="F30" i="39"/>
  <c r="F29" i="39"/>
  <c r="F28" i="39"/>
  <c r="F176" i="38"/>
  <c r="F175" i="38"/>
  <c r="F174" i="38"/>
  <c r="R173" i="38"/>
  <c r="Q173" i="38"/>
  <c r="P173" i="38"/>
  <c r="O173" i="38"/>
  <c r="N173" i="38"/>
  <c r="M173" i="38"/>
  <c r="L173" i="38"/>
  <c r="K173" i="38"/>
  <c r="J173" i="38"/>
  <c r="I173" i="38"/>
  <c r="H173" i="38"/>
  <c r="G173" i="38"/>
  <c r="F172" i="38"/>
  <c r="F171" i="38"/>
  <c r="F170" i="38"/>
  <c r="F169" i="38"/>
  <c r="R168" i="38"/>
  <c r="Q168" i="38"/>
  <c r="P168" i="38"/>
  <c r="O168" i="38"/>
  <c r="N168" i="38"/>
  <c r="M168" i="38"/>
  <c r="L168" i="38"/>
  <c r="K168" i="38"/>
  <c r="J168" i="38"/>
  <c r="I168" i="38"/>
  <c r="H168" i="38"/>
  <c r="G168" i="38"/>
  <c r="F167" i="38"/>
  <c r="F166" i="38"/>
  <c r="F165" i="38"/>
  <c r="F164" i="38"/>
  <c r="R163" i="38"/>
  <c r="Q163" i="38"/>
  <c r="P163" i="38"/>
  <c r="O163" i="38"/>
  <c r="N163" i="38"/>
  <c r="M163" i="38"/>
  <c r="L163" i="38"/>
  <c r="K163" i="38"/>
  <c r="J163" i="38"/>
  <c r="I163" i="38"/>
  <c r="H163" i="38"/>
  <c r="G163" i="38"/>
  <c r="F162" i="38"/>
  <c r="F161" i="38"/>
  <c r="F160" i="38"/>
  <c r="F159" i="38"/>
  <c r="R158" i="38"/>
  <c r="Q158" i="38"/>
  <c r="P158" i="38"/>
  <c r="O158" i="38"/>
  <c r="N158" i="38"/>
  <c r="M158" i="38"/>
  <c r="L158" i="38"/>
  <c r="K158" i="38"/>
  <c r="J158" i="38"/>
  <c r="I158" i="38"/>
  <c r="H158" i="38"/>
  <c r="G158" i="38"/>
  <c r="F157" i="38"/>
  <c r="F156" i="38"/>
  <c r="F155" i="38"/>
  <c r="F154" i="38"/>
  <c r="F153" i="38"/>
  <c r="F152" i="38"/>
  <c r="F151" i="38"/>
  <c r="F150" i="38"/>
  <c r="F149" i="38" s="1"/>
  <c r="R149" i="38"/>
  <c r="Q149" i="38"/>
  <c r="P149" i="38"/>
  <c r="O149" i="38"/>
  <c r="N149" i="38"/>
  <c r="M149" i="38"/>
  <c r="L149" i="38"/>
  <c r="K149" i="38"/>
  <c r="J149" i="38"/>
  <c r="I149" i="38"/>
  <c r="H149" i="38"/>
  <c r="G149" i="38"/>
  <c r="F148" i="38"/>
  <c r="F147" i="38"/>
  <c r="R146" i="38"/>
  <c r="Q146" i="38"/>
  <c r="P146" i="38"/>
  <c r="O146" i="38"/>
  <c r="N146" i="38"/>
  <c r="M146" i="38"/>
  <c r="L146" i="38"/>
  <c r="K146" i="38"/>
  <c r="J146" i="38"/>
  <c r="I146" i="38"/>
  <c r="H146" i="38"/>
  <c r="G146" i="38"/>
  <c r="F145" i="38"/>
  <c r="F144" i="38"/>
  <c r="F143" i="38"/>
  <c r="F142" i="38"/>
  <c r="F141" i="38"/>
  <c r="R140" i="38"/>
  <c r="Q140" i="38"/>
  <c r="P140" i="38"/>
  <c r="O140" i="38"/>
  <c r="N140" i="38"/>
  <c r="M140" i="38"/>
  <c r="L140" i="38"/>
  <c r="K140" i="38"/>
  <c r="J140" i="38"/>
  <c r="I140" i="38"/>
  <c r="H140" i="38"/>
  <c r="G140" i="38"/>
  <c r="F139" i="38"/>
  <c r="F138" i="38" s="1"/>
  <c r="R138" i="38"/>
  <c r="Q138" i="38"/>
  <c r="P138" i="38"/>
  <c r="O138" i="38"/>
  <c r="N138" i="38"/>
  <c r="M138" i="38"/>
  <c r="L138" i="38"/>
  <c r="K138" i="38"/>
  <c r="J138" i="38"/>
  <c r="I138" i="38"/>
  <c r="H138" i="38"/>
  <c r="G138" i="38"/>
  <c r="F137" i="38"/>
  <c r="F136" i="38"/>
  <c r="F135" i="38"/>
  <c r="F134" i="38"/>
  <c r="F133" i="38"/>
  <c r="F132" i="38"/>
  <c r="F131" i="38"/>
  <c r="R130" i="38"/>
  <c r="Q130" i="38"/>
  <c r="P130" i="38"/>
  <c r="O130" i="38"/>
  <c r="N130" i="38"/>
  <c r="M130" i="38"/>
  <c r="L130" i="38"/>
  <c r="K130" i="38"/>
  <c r="J130" i="38"/>
  <c r="I130" i="38"/>
  <c r="H130" i="38"/>
  <c r="G130" i="38"/>
  <c r="F129" i="38"/>
  <c r="R128" i="38"/>
  <c r="Q128" i="38"/>
  <c r="P128" i="38"/>
  <c r="O128" i="38"/>
  <c r="N128" i="38"/>
  <c r="M128" i="38"/>
  <c r="L128" i="38"/>
  <c r="K128" i="38"/>
  <c r="J128" i="38"/>
  <c r="I128" i="38"/>
  <c r="H128" i="38"/>
  <c r="G128" i="38"/>
  <c r="F127" i="38"/>
  <c r="F126" i="38"/>
  <c r="F125" i="38"/>
  <c r="F124" i="38"/>
  <c r="F123" i="38"/>
  <c r="F122" i="38"/>
  <c r="F121" i="38"/>
  <c r="F120" i="38"/>
  <c r="F119" i="38"/>
  <c r="R118" i="38"/>
  <c r="Q118" i="38"/>
  <c r="P118" i="38"/>
  <c r="O118" i="38"/>
  <c r="N118" i="38"/>
  <c r="M118" i="38"/>
  <c r="L118" i="38"/>
  <c r="K118" i="38"/>
  <c r="J118" i="38"/>
  <c r="I118" i="38"/>
  <c r="H118" i="38"/>
  <c r="G118" i="38"/>
  <c r="F117" i="38"/>
  <c r="F116" i="38"/>
  <c r="R115" i="38"/>
  <c r="Q115" i="38"/>
  <c r="P115" i="38"/>
  <c r="O115" i="38"/>
  <c r="N115" i="38"/>
  <c r="M115" i="38"/>
  <c r="L115" i="38"/>
  <c r="K115" i="38"/>
  <c r="J115" i="38"/>
  <c r="I115" i="38"/>
  <c r="H115" i="38"/>
  <c r="G115" i="38"/>
  <c r="F114" i="38"/>
  <c r="F113" i="38"/>
  <c r="F112" i="38"/>
  <c r="F111" i="38"/>
  <c r="F110" i="38"/>
  <c r="F109" i="38"/>
  <c r="F108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6" i="38"/>
  <c r="F105" i="38"/>
  <c r="P104" i="38"/>
  <c r="P100" i="38" s="1"/>
  <c r="M104" i="38"/>
  <c r="J104" i="38"/>
  <c r="G104" i="38"/>
  <c r="G100" i="38" s="1"/>
  <c r="F103" i="38"/>
  <c r="F102" i="38"/>
  <c r="F101" i="38"/>
  <c r="R100" i="38"/>
  <c r="Q100" i="38"/>
  <c r="O100" i="38"/>
  <c r="N100" i="38"/>
  <c r="M100" i="38"/>
  <c r="L100" i="38"/>
  <c r="K100" i="38"/>
  <c r="J100" i="38"/>
  <c r="I100" i="38"/>
  <c r="H100" i="38"/>
  <c r="F99" i="38"/>
  <c r="F98" i="38"/>
  <c r="F97" i="38"/>
  <c r="F96" i="38"/>
  <c r="F95" i="38"/>
  <c r="F94" i="38"/>
  <c r="F93" i="38"/>
  <c r="H92" i="38"/>
  <c r="I92" i="38" s="1"/>
  <c r="F90" i="38"/>
  <c r="F89" i="38"/>
  <c r="F87" i="38"/>
  <c r="F86" i="38"/>
  <c r="F85" i="38"/>
  <c r="F84" i="38"/>
  <c r="F83" i="38"/>
  <c r="F82" i="38"/>
  <c r="F81" i="38"/>
  <c r="F80" i="38"/>
  <c r="R79" i="38"/>
  <c r="Q79" i="38"/>
  <c r="P79" i="38"/>
  <c r="O79" i="38"/>
  <c r="N79" i="38"/>
  <c r="M79" i="38"/>
  <c r="L79" i="38"/>
  <c r="K79" i="38"/>
  <c r="J79" i="38"/>
  <c r="I79" i="38"/>
  <c r="H79" i="38"/>
  <c r="G79" i="38"/>
  <c r="F78" i="38"/>
  <c r="F77" i="38"/>
  <c r="F76" i="38"/>
  <c r="F75" i="38"/>
  <c r="F74" i="38"/>
  <c r="F73" i="38"/>
  <c r="F72" i="38"/>
  <c r="F71" i="38"/>
  <c r="F70" i="38"/>
  <c r="F69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7" i="38"/>
  <c r="F66" i="38"/>
  <c r="F65" i="38"/>
  <c r="F64" i="38"/>
  <c r="F63" i="38"/>
  <c r="F62" i="38"/>
  <c r="F61" i="38"/>
  <c r="F60" i="38" s="1"/>
  <c r="R60" i="38"/>
  <c r="Q60" i="38"/>
  <c r="P60" i="38"/>
  <c r="O60" i="38"/>
  <c r="N60" i="38"/>
  <c r="M60" i="38"/>
  <c r="L60" i="38"/>
  <c r="K60" i="38"/>
  <c r="J60" i="38"/>
  <c r="I60" i="38"/>
  <c r="H60" i="38"/>
  <c r="G60" i="38"/>
  <c r="F59" i="38"/>
  <c r="F58" i="38"/>
  <c r="F57" i="38"/>
  <c r="F56" i="38"/>
  <c r="F55" i="38"/>
  <c r="F54" i="38"/>
  <c r="F53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1" i="38"/>
  <c r="F50" i="38"/>
  <c r="F49" i="38"/>
  <c r="F48" i="38"/>
  <c r="F47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H44" i="38"/>
  <c r="I44" i="38" s="1"/>
  <c r="J44" i="38" s="1"/>
  <c r="F42" i="38"/>
  <c r="F41" i="38"/>
  <c r="F40" i="38"/>
  <c r="F39" i="38"/>
  <c r="F38" i="38"/>
  <c r="F37" i="38"/>
  <c r="F36" i="38"/>
  <c r="F35" i="38"/>
  <c r="F33" i="38"/>
  <c r="F32" i="38"/>
  <c r="F31" i="38"/>
  <c r="F30" i="38"/>
  <c r="F29" i="38"/>
  <c r="F28" i="38"/>
  <c r="F100" i="39" l="1"/>
  <c r="F173" i="39"/>
  <c r="F68" i="39"/>
  <c r="F88" i="39"/>
  <c r="F107" i="39"/>
  <c r="F168" i="39"/>
  <c r="F140" i="39"/>
  <c r="F79" i="39"/>
  <c r="F130" i="39"/>
  <c r="F149" i="39"/>
  <c r="F163" i="39"/>
  <c r="F104" i="38"/>
  <c r="G27" i="38"/>
  <c r="F46" i="38"/>
  <c r="F173" i="38"/>
  <c r="F100" i="38"/>
  <c r="H91" i="38"/>
  <c r="H43" i="38"/>
  <c r="I43" i="38" s="1"/>
  <c r="J43" i="38" s="1"/>
  <c r="K43" i="38" s="1"/>
  <c r="L43" i="38" s="1"/>
  <c r="M43" i="38" s="1"/>
  <c r="F168" i="38"/>
  <c r="F158" i="38"/>
  <c r="F107" i="38"/>
  <c r="G88" i="38"/>
  <c r="F130" i="38"/>
  <c r="N43" i="39"/>
  <c r="O43" i="39" s="1"/>
  <c r="P43" i="39" s="1"/>
  <c r="G26" i="39"/>
  <c r="H34" i="39"/>
  <c r="F46" i="39"/>
  <c r="F60" i="39"/>
  <c r="F158" i="39"/>
  <c r="F115" i="39"/>
  <c r="J92" i="38"/>
  <c r="K44" i="38"/>
  <c r="L44" i="38" s="1"/>
  <c r="M44" i="38" s="1"/>
  <c r="F140" i="38"/>
  <c r="F45" i="38"/>
  <c r="F52" i="38"/>
  <c r="F68" i="38"/>
  <c r="F115" i="38"/>
  <c r="F163" i="38"/>
  <c r="F128" i="38"/>
  <c r="F146" i="38"/>
  <c r="F118" i="38"/>
  <c r="F79" i="38"/>
  <c r="H27" i="38" l="1"/>
  <c r="I27" i="38"/>
  <c r="G26" i="38"/>
  <c r="I91" i="38"/>
  <c r="H88" i="38"/>
  <c r="H26" i="38" s="1"/>
  <c r="H27" i="39"/>
  <c r="I34" i="39"/>
  <c r="Q43" i="39"/>
  <c r="N43" i="38"/>
  <c r="O43" i="38" s="1"/>
  <c r="P43" i="38" s="1"/>
  <c r="K92" i="38"/>
  <c r="N44" i="38"/>
  <c r="J27" i="38"/>
  <c r="J91" i="38" l="1"/>
  <c r="I88" i="38"/>
  <c r="R43" i="39"/>
  <c r="F43" i="39"/>
  <c r="I27" i="39"/>
  <c r="I26" i="39" s="1"/>
  <c r="J34" i="39"/>
  <c r="H26" i="39"/>
  <c r="L92" i="38"/>
  <c r="M92" i="38" s="1"/>
  <c r="O44" i="38"/>
  <c r="P44" i="38" s="1"/>
  <c r="Q43" i="38"/>
  <c r="K27" i="38"/>
  <c r="I26" i="38" l="1"/>
  <c r="K91" i="38"/>
  <c r="J88" i="38"/>
  <c r="J26" i="38" s="1"/>
  <c r="J27" i="39"/>
  <c r="K34" i="39"/>
  <c r="L27" i="38"/>
  <c r="R43" i="38"/>
  <c r="F43" i="38"/>
  <c r="Q44" i="38"/>
  <c r="N92" i="38"/>
  <c r="L91" i="38" l="1"/>
  <c r="K88" i="38"/>
  <c r="K26" i="38" s="1"/>
  <c r="L34" i="39"/>
  <c r="K27" i="39"/>
  <c r="K26" i="39" s="1"/>
  <c r="J26" i="39"/>
  <c r="O92" i="38"/>
  <c r="P92" i="38" s="1"/>
  <c r="R44" i="38"/>
  <c r="F44" i="38"/>
  <c r="M27" i="38"/>
  <c r="L88" i="38" l="1"/>
  <c r="M91" i="38"/>
  <c r="L27" i="39"/>
  <c r="M34" i="39"/>
  <c r="N27" i="38"/>
  <c r="Q92" i="38"/>
  <c r="M88" i="38" l="1"/>
  <c r="M26" i="38" s="1"/>
  <c r="N91" i="38"/>
  <c r="L26" i="38"/>
  <c r="L26" i="39"/>
  <c r="N34" i="39"/>
  <c r="M27" i="39"/>
  <c r="O27" i="38"/>
  <c r="P34" i="38"/>
  <c r="R92" i="38"/>
  <c r="F92" i="38"/>
  <c r="O91" i="38" l="1"/>
  <c r="N88" i="38"/>
  <c r="N26" i="38" s="1"/>
  <c r="M26" i="39"/>
  <c r="O34" i="39"/>
  <c r="N27" i="39"/>
  <c r="N26" i="39" s="1"/>
  <c r="Q34" i="38"/>
  <c r="P27" i="38"/>
  <c r="O88" i="38" l="1"/>
  <c r="P91" i="38"/>
  <c r="P34" i="39"/>
  <c r="O27" i="39"/>
  <c r="O26" i="39" s="1"/>
  <c r="R34" i="38"/>
  <c r="R27" i="38" s="1"/>
  <c r="Q27" i="38"/>
  <c r="F34" i="38"/>
  <c r="Q91" i="38" l="1"/>
  <c r="P88" i="38"/>
  <c r="P26" i="38" s="1"/>
  <c r="O26" i="38"/>
  <c r="Q34" i="39"/>
  <c r="P27" i="39"/>
  <c r="F27" i="38"/>
  <c r="R91" i="38" l="1"/>
  <c r="Q88" i="38"/>
  <c r="Q26" i="38" s="1"/>
  <c r="P26" i="39"/>
  <c r="R34" i="39"/>
  <c r="Q27" i="39"/>
  <c r="Q26" i="39" s="1"/>
  <c r="R88" i="38" l="1"/>
  <c r="R26" i="38" s="1"/>
  <c r="F91" i="38"/>
  <c r="F88" i="38" s="1"/>
  <c r="F26" i="38" s="1"/>
  <c r="R27" i="39"/>
  <c r="R26" i="39" s="1"/>
  <c r="F34" i="39"/>
  <c r="F27" i="39" l="1"/>
  <c r="F26" i="39" s="1"/>
  <c r="F176" i="37" l="1"/>
  <c r="F175" i="37"/>
  <c r="F174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2" i="37"/>
  <c r="F171" i="37"/>
  <c r="F170" i="37"/>
  <c r="F169" i="37"/>
  <c r="R168" i="37"/>
  <c r="Q168" i="37"/>
  <c r="P168" i="37"/>
  <c r="O168" i="37"/>
  <c r="N168" i="37"/>
  <c r="M168" i="37"/>
  <c r="L168" i="37"/>
  <c r="K168" i="37"/>
  <c r="J168" i="37"/>
  <c r="I168" i="37"/>
  <c r="H168" i="37"/>
  <c r="G168" i="37"/>
  <c r="F167" i="37"/>
  <c r="F166" i="37"/>
  <c r="F165" i="37"/>
  <c r="F164" i="37"/>
  <c r="R163" i="37"/>
  <c r="Q163" i="37"/>
  <c r="P163" i="37"/>
  <c r="O163" i="37"/>
  <c r="N163" i="37"/>
  <c r="M163" i="37"/>
  <c r="L163" i="37"/>
  <c r="K163" i="37"/>
  <c r="J163" i="37"/>
  <c r="I163" i="37"/>
  <c r="H163" i="37"/>
  <c r="G163" i="37"/>
  <c r="F162" i="37"/>
  <c r="F161" i="37"/>
  <c r="F160" i="37"/>
  <c r="F159" i="37"/>
  <c r="F158" i="37" s="1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7" i="37"/>
  <c r="F156" i="37"/>
  <c r="F155" i="37"/>
  <c r="F154" i="37"/>
  <c r="F153" i="37"/>
  <c r="F152" i="37"/>
  <c r="F151" i="37"/>
  <c r="F150" i="37"/>
  <c r="R149" i="37"/>
  <c r="Q149" i="37"/>
  <c r="P149" i="37"/>
  <c r="O149" i="37"/>
  <c r="N149" i="37"/>
  <c r="M149" i="37"/>
  <c r="L149" i="37"/>
  <c r="K149" i="37"/>
  <c r="J149" i="37"/>
  <c r="I149" i="37"/>
  <c r="H149" i="37"/>
  <c r="G149" i="37"/>
  <c r="F148" i="37"/>
  <c r="F147" i="37"/>
  <c r="R146" i="37"/>
  <c r="Q146" i="37"/>
  <c r="P146" i="37"/>
  <c r="O146" i="37"/>
  <c r="N146" i="37"/>
  <c r="M146" i="37"/>
  <c r="L146" i="37"/>
  <c r="K146" i="37"/>
  <c r="J146" i="37"/>
  <c r="I146" i="37"/>
  <c r="H146" i="37"/>
  <c r="G146" i="37"/>
  <c r="F145" i="37"/>
  <c r="F144" i="37"/>
  <c r="F143" i="37"/>
  <c r="F142" i="37"/>
  <c r="F141" i="37"/>
  <c r="R140" i="37"/>
  <c r="Q140" i="37"/>
  <c r="P140" i="37"/>
  <c r="O140" i="37"/>
  <c r="N140" i="37"/>
  <c r="M140" i="37"/>
  <c r="L140" i="37"/>
  <c r="K140" i="37"/>
  <c r="J140" i="37"/>
  <c r="I140" i="37"/>
  <c r="H140" i="37"/>
  <c r="G140" i="37"/>
  <c r="F140" i="37"/>
  <c r="F139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F137" i="37"/>
  <c r="F136" i="37"/>
  <c r="F135" i="37"/>
  <c r="F134" i="37"/>
  <c r="F133" i="37"/>
  <c r="F132" i="37"/>
  <c r="F131" i="37"/>
  <c r="R130" i="37"/>
  <c r="Q130" i="37"/>
  <c r="P130" i="37"/>
  <c r="O130" i="37"/>
  <c r="N130" i="37"/>
  <c r="M130" i="37"/>
  <c r="L130" i="37"/>
  <c r="K130" i="37"/>
  <c r="J130" i="37"/>
  <c r="I130" i="37"/>
  <c r="H130" i="37"/>
  <c r="G130" i="37"/>
  <c r="F129" i="37"/>
  <c r="F128" i="37" s="1"/>
  <c r="R128" i="37"/>
  <c r="Q128" i="37"/>
  <c r="P128" i="37"/>
  <c r="O128" i="37"/>
  <c r="N128" i="37"/>
  <c r="M128" i="37"/>
  <c r="L128" i="37"/>
  <c r="K128" i="37"/>
  <c r="J128" i="37"/>
  <c r="I128" i="37"/>
  <c r="H128" i="37"/>
  <c r="G128" i="37"/>
  <c r="F127" i="37"/>
  <c r="F126" i="37"/>
  <c r="F125" i="37"/>
  <c r="F124" i="37"/>
  <c r="F123" i="37"/>
  <c r="F122" i="37"/>
  <c r="F121" i="37"/>
  <c r="F120" i="37"/>
  <c r="F119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7" i="37"/>
  <c r="F116" i="37"/>
  <c r="F115" i="37" s="1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F114" i="37"/>
  <c r="F113" i="37"/>
  <c r="F112" i="37"/>
  <c r="F111" i="37"/>
  <c r="F110" i="37"/>
  <c r="F109" i="37"/>
  <c r="F108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6" i="37"/>
  <c r="F105" i="37"/>
  <c r="F104" i="37"/>
  <c r="R103" i="37"/>
  <c r="R100" i="37" s="1"/>
  <c r="G103" i="37"/>
  <c r="G100" i="37" s="1"/>
  <c r="F102" i="37"/>
  <c r="O101" i="37"/>
  <c r="O100" i="37" s="1"/>
  <c r="L101" i="37"/>
  <c r="L100" i="37" s="1"/>
  <c r="Q100" i="37"/>
  <c r="P100" i="37"/>
  <c r="N100" i="37"/>
  <c r="M100" i="37"/>
  <c r="K100" i="37"/>
  <c r="J100" i="37"/>
  <c r="I100" i="37"/>
  <c r="H100" i="37"/>
  <c r="F99" i="37"/>
  <c r="F98" i="37"/>
  <c r="F97" i="37"/>
  <c r="F96" i="37"/>
  <c r="F95" i="37"/>
  <c r="F88" i="37" s="1"/>
  <c r="F94" i="37"/>
  <c r="F93" i="37"/>
  <c r="F92" i="37"/>
  <c r="F91" i="37"/>
  <c r="F90" i="37"/>
  <c r="F89" i="37"/>
  <c r="R88" i="37"/>
  <c r="Q88" i="37"/>
  <c r="P88" i="37"/>
  <c r="O88" i="37"/>
  <c r="N88" i="37"/>
  <c r="M88" i="37"/>
  <c r="L88" i="37"/>
  <c r="K88" i="37"/>
  <c r="J88" i="37"/>
  <c r="I88" i="37"/>
  <c r="H88" i="37"/>
  <c r="G88" i="37"/>
  <c r="F87" i="37"/>
  <c r="F86" i="37"/>
  <c r="F85" i="37"/>
  <c r="F84" i="37"/>
  <c r="F83" i="37"/>
  <c r="F82" i="37"/>
  <c r="F81" i="37"/>
  <c r="F80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8" i="37"/>
  <c r="F77" i="37"/>
  <c r="F76" i="37"/>
  <c r="F75" i="37"/>
  <c r="F74" i="37"/>
  <c r="F73" i="37"/>
  <c r="F72" i="37"/>
  <c r="F71" i="37"/>
  <c r="F70" i="37"/>
  <c r="F69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7" i="37"/>
  <c r="F66" i="37"/>
  <c r="F65" i="37"/>
  <c r="F64" i="37"/>
  <c r="F63" i="37"/>
  <c r="F62" i="37"/>
  <c r="F61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59" i="37"/>
  <c r="F58" i="37"/>
  <c r="F57" i="37"/>
  <c r="F56" i="37"/>
  <c r="F52" i="37" s="1"/>
  <c r="F55" i="37"/>
  <c r="F54" i="37"/>
  <c r="F53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1" i="37"/>
  <c r="F50" i="37"/>
  <c r="F49" i="37"/>
  <c r="F48" i="37"/>
  <c r="F47" i="37"/>
  <c r="F46" i="37" s="1"/>
  <c r="R46" i="37"/>
  <c r="Q46" i="37"/>
  <c r="P46" i="37"/>
  <c r="O46" i="37"/>
  <c r="N46" i="37"/>
  <c r="M46" i="37"/>
  <c r="L46" i="37"/>
  <c r="K46" i="37"/>
  <c r="J46" i="37"/>
  <c r="I46" i="37"/>
  <c r="H46" i="37"/>
  <c r="G46" i="37"/>
  <c r="F45" i="37"/>
  <c r="F44" i="37"/>
  <c r="F43" i="37"/>
  <c r="F42" i="37"/>
  <c r="F41" i="37"/>
  <c r="F40" i="37"/>
  <c r="F39" i="37"/>
  <c r="F38" i="37"/>
  <c r="F37" i="37"/>
  <c r="F36" i="37"/>
  <c r="F35" i="37"/>
  <c r="F34" i="37"/>
  <c r="F33" i="37"/>
  <c r="F32" i="37"/>
  <c r="F31" i="37"/>
  <c r="F30" i="37"/>
  <c r="F29" i="37"/>
  <c r="F28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176" i="36"/>
  <c r="F175" i="36"/>
  <c r="F174" i="36"/>
  <c r="R173" i="36"/>
  <c r="Q173" i="36"/>
  <c r="P173" i="36"/>
  <c r="O173" i="36"/>
  <c r="N173" i="36"/>
  <c r="M173" i="36"/>
  <c r="L173" i="36"/>
  <c r="K173" i="36"/>
  <c r="J173" i="36"/>
  <c r="I173" i="36"/>
  <c r="H173" i="36"/>
  <c r="G173" i="36"/>
  <c r="F172" i="36"/>
  <c r="F171" i="36"/>
  <c r="R170" i="36"/>
  <c r="R168" i="36" s="1"/>
  <c r="Q170" i="36"/>
  <c r="P170" i="36"/>
  <c r="P168" i="36" s="1"/>
  <c r="O170" i="36"/>
  <c r="O168" i="36" s="1"/>
  <c r="N170" i="36"/>
  <c r="N168" i="36" s="1"/>
  <c r="M170" i="36"/>
  <c r="M168" i="36" s="1"/>
  <c r="L170" i="36"/>
  <c r="L168" i="36" s="1"/>
  <c r="K170" i="36"/>
  <c r="K168" i="36" s="1"/>
  <c r="J170" i="36"/>
  <c r="J168" i="36" s="1"/>
  <c r="I170" i="36"/>
  <c r="I168" i="36" s="1"/>
  <c r="H170" i="36"/>
  <c r="H168" i="36" s="1"/>
  <c r="G170" i="36"/>
  <c r="F169" i="36"/>
  <c r="Q168" i="36"/>
  <c r="G168" i="36"/>
  <c r="F167" i="36"/>
  <c r="F166" i="36"/>
  <c r="F165" i="36"/>
  <c r="F164" i="36"/>
  <c r="R163" i="36"/>
  <c r="Q163" i="36"/>
  <c r="P163" i="36"/>
  <c r="O163" i="36"/>
  <c r="N163" i="36"/>
  <c r="M163" i="36"/>
  <c r="L163" i="36"/>
  <c r="K163" i="36"/>
  <c r="J163" i="36"/>
  <c r="I163" i="36"/>
  <c r="H163" i="36"/>
  <c r="G163" i="36"/>
  <c r="F162" i="36"/>
  <c r="F161" i="36"/>
  <c r="F160" i="36"/>
  <c r="F159" i="36"/>
  <c r="F158" i="36" s="1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F157" i="36"/>
  <c r="F156" i="36"/>
  <c r="F155" i="36"/>
  <c r="F154" i="36"/>
  <c r="F153" i="36"/>
  <c r="F152" i="36"/>
  <c r="F151" i="36"/>
  <c r="F150" i="36"/>
  <c r="R149" i="36"/>
  <c r="Q149" i="36"/>
  <c r="P149" i="36"/>
  <c r="O149" i="36"/>
  <c r="N149" i="36"/>
  <c r="M149" i="36"/>
  <c r="L149" i="36"/>
  <c r="K149" i="36"/>
  <c r="J149" i="36"/>
  <c r="I149" i="36"/>
  <c r="H149" i="36"/>
  <c r="G149" i="36"/>
  <c r="F148" i="36"/>
  <c r="F147" i="36"/>
  <c r="F146" i="36" s="1"/>
  <c r="R146" i="36"/>
  <c r="Q146" i="36"/>
  <c r="P146" i="36"/>
  <c r="O146" i="36"/>
  <c r="N146" i="36"/>
  <c r="M146" i="36"/>
  <c r="L146" i="36"/>
  <c r="K146" i="36"/>
  <c r="J146" i="36"/>
  <c r="I146" i="36"/>
  <c r="H146" i="36"/>
  <c r="G146" i="36"/>
  <c r="F145" i="36"/>
  <c r="F144" i="36"/>
  <c r="F143" i="36"/>
  <c r="F142" i="36"/>
  <c r="F141" i="36"/>
  <c r="R140" i="36"/>
  <c r="Q140" i="36"/>
  <c r="P140" i="36"/>
  <c r="O140" i="36"/>
  <c r="N140" i="36"/>
  <c r="M140" i="36"/>
  <c r="L140" i="36"/>
  <c r="K140" i="36"/>
  <c r="J140" i="36"/>
  <c r="I140" i="36"/>
  <c r="H140" i="36"/>
  <c r="G140" i="36"/>
  <c r="F139" i="36"/>
  <c r="F138" i="36" s="1"/>
  <c r="R138" i="36"/>
  <c r="Q138" i="36"/>
  <c r="P138" i="36"/>
  <c r="O138" i="36"/>
  <c r="N138" i="36"/>
  <c r="M138" i="36"/>
  <c r="L138" i="36"/>
  <c r="K138" i="36"/>
  <c r="J138" i="36"/>
  <c r="I138" i="36"/>
  <c r="H138" i="36"/>
  <c r="G138" i="36"/>
  <c r="F137" i="36"/>
  <c r="F136" i="36"/>
  <c r="F135" i="36"/>
  <c r="F134" i="36"/>
  <c r="F133" i="36"/>
  <c r="F132" i="36"/>
  <c r="F131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29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F127" i="36"/>
  <c r="F126" i="36"/>
  <c r="F125" i="36"/>
  <c r="F118" i="36" s="1"/>
  <c r="F124" i="36"/>
  <c r="F123" i="36"/>
  <c r="F122" i="36"/>
  <c r="F121" i="36"/>
  <c r="F120" i="36"/>
  <c r="F119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7" i="36"/>
  <c r="F116" i="36"/>
  <c r="F115" i="36" s="1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4" i="36"/>
  <c r="F113" i="36"/>
  <c r="F112" i="36"/>
  <c r="F111" i="36"/>
  <c r="F110" i="36"/>
  <c r="F109" i="36"/>
  <c r="F108" i="36"/>
  <c r="F107" i="36" s="1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6" i="36"/>
  <c r="F105" i="36"/>
  <c r="F104" i="36"/>
  <c r="F103" i="36"/>
  <c r="F102" i="36"/>
  <c r="F101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F99" i="36"/>
  <c r="F98" i="36"/>
  <c r="F97" i="36"/>
  <c r="F96" i="36"/>
  <c r="F95" i="36"/>
  <c r="F94" i="36"/>
  <c r="F93" i="36"/>
  <c r="F92" i="36"/>
  <c r="F91" i="36"/>
  <c r="F90" i="36"/>
  <c r="F89" i="36"/>
  <c r="F88" i="36" s="1"/>
  <c r="R88" i="36"/>
  <c r="Q88" i="36"/>
  <c r="P88" i="36"/>
  <c r="O88" i="36"/>
  <c r="N88" i="36"/>
  <c r="M88" i="36"/>
  <c r="L88" i="36"/>
  <c r="K88" i="36"/>
  <c r="J88" i="36"/>
  <c r="I88" i="36"/>
  <c r="H88" i="36"/>
  <c r="G88" i="36"/>
  <c r="F87" i="36"/>
  <c r="F86" i="36"/>
  <c r="F85" i="36"/>
  <c r="F84" i="36"/>
  <c r="F83" i="36"/>
  <c r="F82" i="36"/>
  <c r="F81" i="36"/>
  <c r="F80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8" i="36"/>
  <c r="F77" i="36"/>
  <c r="F76" i="36"/>
  <c r="F75" i="36"/>
  <c r="F74" i="36"/>
  <c r="F73" i="36"/>
  <c r="F72" i="36"/>
  <c r="F71" i="36"/>
  <c r="F70" i="36"/>
  <c r="F69" i="36"/>
  <c r="F68" i="36" s="1"/>
  <c r="R68" i="36"/>
  <c r="Q68" i="36"/>
  <c r="P68" i="36"/>
  <c r="O68" i="36"/>
  <c r="N68" i="36"/>
  <c r="M68" i="36"/>
  <c r="L68" i="36"/>
  <c r="K68" i="36"/>
  <c r="J68" i="36"/>
  <c r="I68" i="36"/>
  <c r="H68" i="36"/>
  <c r="G68" i="36"/>
  <c r="F67" i="36"/>
  <c r="F66" i="36"/>
  <c r="F65" i="36"/>
  <c r="F64" i="36"/>
  <c r="F63" i="36"/>
  <c r="F62" i="36"/>
  <c r="F61" i="36"/>
  <c r="R60" i="36"/>
  <c r="Q60" i="36"/>
  <c r="P60" i="36"/>
  <c r="O60" i="36"/>
  <c r="N60" i="36"/>
  <c r="M60" i="36"/>
  <c r="L60" i="36"/>
  <c r="K60" i="36"/>
  <c r="J60" i="36"/>
  <c r="I60" i="36"/>
  <c r="H60" i="36"/>
  <c r="G60" i="36"/>
  <c r="F59" i="36"/>
  <c r="F58" i="36"/>
  <c r="F57" i="36"/>
  <c r="F56" i="36"/>
  <c r="F55" i="36"/>
  <c r="F54" i="36"/>
  <c r="F53" i="36"/>
  <c r="R52" i="36"/>
  <c r="Q52" i="36"/>
  <c r="Q26" i="36" s="1"/>
  <c r="P52" i="36"/>
  <c r="O52" i="36"/>
  <c r="N52" i="36"/>
  <c r="M52" i="36"/>
  <c r="L52" i="36"/>
  <c r="K52" i="36"/>
  <c r="J52" i="36"/>
  <c r="I52" i="36"/>
  <c r="H52" i="36"/>
  <c r="G52" i="36"/>
  <c r="F52" i="36"/>
  <c r="F51" i="36"/>
  <c r="F50" i="36"/>
  <c r="F49" i="36"/>
  <c r="F48" i="36"/>
  <c r="F47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R27" i="36"/>
  <c r="Q27" i="36"/>
  <c r="P27" i="36"/>
  <c r="O27" i="36"/>
  <c r="N27" i="36"/>
  <c r="N26" i="36" s="1"/>
  <c r="M27" i="36"/>
  <c r="L27" i="36"/>
  <c r="L26" i="36" s="1"/>
  <c r="K27" i="36"/>
  <c r="J27" i="36"/>
  <c r="I27" i="36"/>
  <c r="H27" i="36"/>
  <c r="G27" i="36"/>
  <c r="G26" i="36" s="1"/>
  <c r="S176" i="35"/>
  <c r="R176" i="35" s="1"/>
  <c r="S175" i="35"/>
  <c r="S174" i="35"/>
  <c r="R174" i="35"/>
  <c r="AD173" i="35"/>
  <c r="AC173" i="35"/>
  <c r="AB173" i="35"/>
  <c r="AA173" i="35"/>
  <c r="Z173" i="35"/>
  <c r="Y173" i="35"/>
  <c r="X173" i="35"/>
  <c r="W173" i="35"/>
  <c r="V173" i="35"/>
  <c r="U173" i="35"/>
  <c r="T173" i="35"/>
  <c r="J173" i="35"/>
  <c r="I173" i="35"/>
  <c r="H173" i="35"/>
  <c r="G173" i="35"/>
  <c r="F173" i="35"/>
  <c r="R172" i="35"/>
  <c r="R171" i="35"/>
  <c r="R170" i="35"/>
  <c r="R169" i="35"/>
  <c r="AD168" i="35"/>
  <c r="AC168" i="35"/>
  <c r="AB168" i="35"/>
  <c r="AA168" i="35"/>
  <c r="Z168" i="35"/>
  <c r="Y168" i="35"/>
  <c r="X168" i="35"/>
  <c r="W168" i="35"/>
  <c r="V168" i="35"/>
  <c r="U168" i="35"/>
  <c r="T168" i="35"/>
  <c r="S168" i="35"/>
  <c r="J168" i="35"/>
  <c r="I168" i="35"/>
  <c r="H168" i="35"/>
  <c r="G168" i="35"/>
  <c r="F168" i="35"/>
  <c r="R167" i="35"/>
  <c r="R166" i="35"/>
  <c r="R165" i="35"/>
  <c r="R164" i="35"/>
  <c r="AD163" i="35"/>
  <c r="AC163" i="35"/>
  <c r="AB163" i="35"/>
  <c r="AA163" i="35"/>
  <c r="Z163" i="35"/>
  <c r="Y163" i="35"/>
  <c r="X163" i="35"/>
  <c r="W163" i="35"/>
  <c r="V163" i="35"/>
  <c r="U163" i="35"/>
  <c r="T163" i="35"/>
  <c r="S163" i="35"/>
  <c r="J163" i="35"/>
  <c r="I163" i="35"/>
  <c r="H163" i="35"/>
  <c r="G163" i="35"/>
  <c r="F163" i="35"/>
  <c r="R162" i="35"/>
  <c r="R161" i="35"/>
  <c r="R160" i="35"/>
  <c r="R158" i="35" s="1"/>
  <c r="R159" i="35"/>
  <c r="AD158" i="35"/>
  <c r="AC158" i="35"/>
  <c r="AB158" i="35"/>
  <c r="AA158" i="35"/>
  <c r="Z158" i="35"/>
  <c r="Y158" i="35"/>
  <c r="X158" i="35"/>
  <c r="W158" i="35"/>
  <c r="V158" i="35"/>
  <c r="U158" i="35"/>
  <c r="T158" i="35"/>
  <c r="S158" i="35"/>
  <c r="J158" i="35"/>
  <c r="I158" i="35"/>
  <c r="H158" i="35"/>
  <c r="G158" i="35"/>
  <c r="F158" i="35"/>
  <c r="R157" i="35"/>
  <c r="R156" i="35"/>
  <c r="R155" i="35"/>
  <c r="R154" i="35"/>
  <c r="R153" i="35"/>
  <c r="R152" i="35"/>
  <c r="R151" i="35"/>
  <c r="R150" i="35"/>
  <c r="AD149" i="35"/>
  <c r="AC149" i="35"/>
  <c r="AB149" i="35"/>
  <c r="AA149" i="35"/>
  <c r="Z149" i="35"/>
  <c r="Y149" i="35"/>
  <c r="X149" i="35"/>
  <c r="W149" i="35"/>
  <c r="V149" i="35"/>
  <c r="U149" i="35"/>
  <c r="T149" i="35"/>
  <c r="S149" i="35"/>
  <c r="J149" i="35"/>
  <c r="I149" i="35"/>
  <c r="H149" i="35"/>
  <c r="G149" i="35"/>
  <c r="F149" i="35"/>
  <c r="R148" i="35"/>
  <c r="R147" i="35"/>
  <c r="AD146" i="35"/>
  <c r="AC146" i="35"/>
  <c r="AB146" i="35"/>
  <c r="AA146" i="35"/>
  <c r="Z146" i="35"/>
  <c r="Y146" i="35"/>
  <c r="X146" i="35"/>
  <c r="W146" i="35"/>
  <c r="V146" i="35"/>
  <c r="U146" i="35"/>
  <c r="T146" i="35"/>
  <c r="S146" i="35"/>
  <c r="J146" i="35"/>
  <c r="I146" i="35"/>
  <c r="H146" i="35"/>
  <c r="G146" i="35"/>
  <c r="F146" i="35"/>
  <c r="R145" i="35"/>
  <c r="R144" i="35"/>
  <c r="R143" i="35"/>
  <c r="R142" i="35"/>
  <c r="R141" i="35"/>
  <c r="AD140" i="35"/>
  <c r="AC140" i="35"/>
  <c r="AB140" i="35"/>
  <c r="AA140" i="35"/>
  <c r="Z140" i="35"/>
  <c r="Y140" i="35"/>
  <c r="X140" i="35"/>
  <c r="W140" i="35"/>
  <c r="V140" i="35"/>
  <c r="U140" i="35"/>
  <c r="T140" i="35"/>
  <c r="S140" i="35"/>
  <c r="J140" i="35"/>
  <c r="I140" i="35"/>
  <c r="H140" i="35"/>
  <c r="G140" i="35"/>
  <c r="F140" i="35"/>
  <c r="R139" i="35"/>
  <c r="AD138" i="35"/>
  <c r="AC138" i="35"/>
  <c r="AB138" i="35"/>
  <c r="AA138" i="35"/>
  <c r="Z138" i="35"/>
  <c r="Y138" i="35"/>
  <c r="X138" i="35"/>
  <c r="W138" i="35"/>
  <c r="V138" i="35"/>
  <c r="U138" i="35"/>
  <c r="T138" i="35"/>
  <c r="S138" i="35"/>
  <c r="J138" i="35"/>
  <c r="I138" i="35"/>
  <c r="H138" i="35"/>
  <c r="G138" i="35"/>
  <c r="F138" i="35"/>
  <c r="R137" i="35"/>
  <c r="R136" i="35"/>
  <c r="R135" i="35"/>
  <c r="R134" i="35"/>
  <c r="R133" i="35"/>
  <c r="R132" i="35"/>
  <c r="R131" i="35"/>
  <c r="AD130" i="35"/>
  <c r="AC130" i="35"/>
  <c r="AB130" i="35"/>
  <c r="AA130" i="35"/>
  <c r="Z130" i="35"/>
  <c r="Y130" i="35"/>
  <c r="X130" i="35"/>
  <c r="W130" i="35"/>
  <c r="V130" i="35"/>
  <c r="U130" i="35"/>
  <c r="T130" i="35"/>
  <c r="S130" i="35"/>
  <c r="J130" i="35"/>
  <c r="I130" i="35"/>
  <c r="H130" i="35"/>
  <c r="G130" i="35"/>
  <c r="F130" i="35"/>
  <c r="R129" i="35"/>
  <c r="AD128" i="35"/>
  <c r="AC128" i="35"/>
  <c r="AB128" i="35"/>
  <c r="AA128" i="35"/>
  <c r="Z128" i="35"/>
  <c r="Y128" i="35"/>
  <c r="X128" i="35"/>
  <c r="W128" i="35"/>
  <c r="V128" i="35"/>
  <c r="U128" i="35"/>
  <c r="T128" i="35"/>
  <c r="S128" i="35"/>
  <c r="J128" i="35"/>
  <c r="I128" i="35"/>
  <c r="H128" i="35"/>
  <c r="G128" i="35"/>
  <c r="F128" i="35"/>
  <c r="R127" i="35"/>
  <c r="R126" i="35"/>
  <c r="R125" i="35"/>
  <c r="R124" i="35"/>
  <c r="R123" i="35"/>
  <c r="R122" i="35"/>
  <c r="R118" i="35" s="1"/>
  <c r="R121" i="35"/>
  <c r="R120" i="35"/>
  <c r="R119" i="35"/>
  <c r="AD118" i="35"/>
  <c r="AC118" i="35"/>
  <c r="AB118" i="35"/>
  <c r="AA118" i="35"/>
  <c r="Z118" i="35"/>
  <c r="Y118" i="35"/>
  <c r="X118" i="35"/>
  <c r="W118" i="35"/>
  <c r="V118" i="35"/>
  <c r="U118" i="35"/>
  <c r="T118" i="35"/>
  <c r="S118" i="35"/>
  <c r="J118" i="35"/>
  <c r="I118" i="35"/>
  <c r="H118" i="35"/>
  <c r="G118" i="35"/>
  <c r="F118" i="35"/>
  <c r="R117" i="35"/>
  <c r="R116" i="35"/>
  <c r="AD115" i="35"/>
  <c r="AC115" i="35"/>
  <c r="AB115" i="35"/>
  <c r="AA115" i="35"/>
  <c r="Z115" i="35"/>
  <c r="Y115" i="35"/>
  <c r="X115" i="35"/>
  <c r="W115" i="35"/>
  <c r="V115" i="35"/>
  <c r="U115" i="35"/>
  <c r="T115" i="35"/>
  <c r="S115" i="35"/>
  <c r="J115" i="35"/>
  <c r="I115" i="35"/>
  <c r="H115" i="35"/>
  <c r="G115" i="35"/>
  <c r="F115" i="35"/>
  <c r="R114" i="35"/>
  <c r="R113" i="35"/>
  <c r="R112" i="35"/>
  <c r="R111" i="35"/>
  <c r="R110" i="35"/>
  <c r="R109" i="35"/>
  <c r="R108" i="35"/>
  <c r="AD107" i="35"/>
  <c r="AC107" i="35"/>
  <c r="AB107" i="35"/>
  <c r="AA107" i="35"/>
  <c r="Z107" i="35"/>
  <c r="Y107" i="35"/>
  <c r="X107" i="35"/>
  <c r="W107" i="35"/>
  <c r="V107" i="35"/>
  <c r="U107" i="35"/>
  <c r="T107" i="35"/>
  <c r="S107" i="35"/>
  <c r="J107" i="35"/>
  <c r="I107" i="35"/>
  <c r="H107" i="35"/>
  <c r="G107" i="35"/>
  <c r="F107" i="35"/>
  <c r="R106" i="35"/>
  <c r="R105" i="35"/>
  <c r="R104" i="35"/>
  <c r="R103" i="35"/>
  <c r="R102" i="35"/>
  <c r="R101" i="35"/>
  <c r="AD100" i="35"/>
  <c r="AC100" i="35"/>
  <c r="AB100" i="35"/>
  <c r="AA100" i="35"/>
  <c r="Z100" i="35"/>
  <c r="Y100" i="35"/>
  <c r="X100" i="35"/>
  <c r="W100" i="35"/>
  <c r="V100" i="35"/>
  <c r="U100" i="35"/>
  <c r="T100" i="35"/>
  <c r="S100" i="35"/>
  <c r="J100" i="35"/>
  <c r="I100" i="35"/>
  <c r="H100" i="35"/>
  <c r="G100" i="35"/>
  <c r="F100" i="35"/>
  <c r="R99" i="35"/>
  <c r="R98" i="35"/>
  <c r="R97" i="35"/>
  <c r="R96" i="35"/>
  <c r="R95" i="35"/>
  <c r="R94" i="35"/>
  <c r="R93" i="35"/>
  <c r="R92" i="35"/>
  <c r="R91" i="35"/>
  <c r="R90" i="35"/>
  <c r="R89" i="35"/>
  <c r="AD88" i="35"/>
  <c r="AC88" i="35"/>
  <c r="AB88" i="35"/>
  <c r="AA88" i="35"/>
  <c r="Z88" i="35"/>
  <c r="Y88" i="35"/>
  <c r="X88" i="35"/>
  <c r="W88" i="35"/>
  <c r="V88" i="35"/>
  <c r="U88" i="35"/>
  <c r="T88" i="35"/>
  <c r="S88" i="35"/>
  <c r="J88" i="35"/>
  <c r="I88" i="35"/>
  <c r="H88" i="35"/>
  <c r="G88" i="35"/>
  <c r="F88" i="35"/>
  <c r="R87" i="35"/>
  <c r="R86" i="35"/>
  <c r="R85" i="35"/>
  <c r="R84" i="35"/>
  <c r="R83" i="35"/>
  <c r="R82" i="35"/>
  <c r="R81" i="35"/>
  <c r="R80" i="35"/>
  <c r="AD79" i="35"/>
  <c r="AC79" i="35"/>
  <c r="AB79" i="35"/>
  <c r="AA79" i="35"/>
  <c r="Z79" i="35"/>
  <c r="Y79" i="35"/>
  <c r="X79" i="35"/>
  <c r="W79" i="35"/>
  <c r="V79" i="35"/>
  <c r="U79" i="35"/>
  <c r="T79" i="35"/>
  <c r="S79" i="35"/>
  <c r="J79" i="35"/>
  <c r="I79" i="35"/>
  <c r="H79" i="35"/>
  <c r="G79" i="35"/>
  <c r="F79" i="35"/>
  <c r="R78" i="35"/>
  <c r="R77" i="35"/>
  <c r="R76" i="35"/>
  <c r="R75" i="35"/>
  <c r="R74" i="35"/>
  <c r="R73" i="35"/>
  <c r="R72" i="35"/>
  <c r="R71" i="35"/>
  <c r="R70" i="35"/>
  <c r="R68" i="35" s="1"/>
  <c r="R69" i="35"/>
  <c r="AD68" i="35"/>
  <c r="AC68" i="35"/>
  <c r="AB68" i="35"/>
  <c r="AA68" i="35"/>
  <c r="Z68" i="35"/>
  <c r="Y68" i="35"/>
  <c r="X68" i="35"/>
  <c r="W68" i="35"/>
  <c r="V68" i="35"/>
  <c r="U68" i="35"/>
  <c r="T68" i="35"/>
  <c r="S68" i="35"/>
  <c r="J68" i="35"/>
  <c r="I68" i="35"/>
  <c r="H68" i="35"/>
  <c r="G68" i="35"/>
  <c r="F68" i="35"/>
  <c r="R67" i="35"/>
  <c r="R66" i="35"/>
  <c r="R65" i="35"/>
  <c r="R64" i="35"/>
  <c r="R63" i="35"/>
  <c r="R62" i="35"/>
  <c r="R61" i="35"/>
  <c r="R60" i="35" s="1"/>
  <c r="AD60" i="35"/>
  <c r="AC60" i="35"/>
  <c r="AB60" i="35"/>
  <c r="AA60" i="35"/>
  <c r="Z60" i="35"/>
  <c r="Y60" i="35"/>
  <c r="X60" i="35"/>
  <c r="W60" i="35"/>
  <c r="V60" i="35"/>
  <c r="U60" i="35"/>
  <c r="T60" i="35"/>
  <c r="S60" i="35"/>
  <c r="J60" i="35"/>
  <c r="I60" i="35"/>
  <c r="H60" i="35"/>
  <c r="G60" i="35"/>
  <c r="F60" i="35"/>
  <c r="R59" i="35"/>
  <c r="R58" i="35"/>
  <c r="R57" i="35"/>
  <c r="R56" i="35"/>
  <c r="R55" i="35"/>
  <c r="R54" i="35"/>
  <c r="R53" i="35"/>
  <c r="AD52" i="35"/>
  <c r="AC52" i="35"/>
  <c r="AB52" i="35"/>
  <c r="AA52" i="35"/>
  <c r="Z52" i="35"/>
  <c r="Y52" i="35"/>
  <c r="X52" i="35"/>
  <c r="W52" i="35"/>
  <c r="V52" i="35"/>
  <c r="U52" i="35"/>
  <c r="T52" i="35"/>
  <c r="S52" i="35"/>
  <c r="J52" i="35"/>
  <c r="I52" i="35"/>
  <c r="H52" i="35"/>
  <c r="G52" i="35"/>
  <c r="F52" i="35"/>
  <c r="R51" i="35"/>
  <c r="R50" i="35"/>
  <c r="R49" i="35"/>
  <c r="R48" i="35"/>
  <c r="R47" i="35"/>
  <c r="AD46" i="35"/>
  <c r="AC46" i="35"/>
  <c r="AB46" i="35"/>
  <c r="AA46" i="35"/>
  <c r="Z46" i="35"/>
  <c r="Y46" i="35"/>
  <c r="X46" i="35"/>
  <c r="W46" i="35"/>
  <c r="V46" i="35"/>
  <c r="U46" i="35"/>
  <c r="T46" i="35"/>
  <c r="S46" i="35"/>
  <c r="J46" i="35"/>
  <c r="I46" i="35"/>
  <c r="H46" i="35"/>
  <c r="G46" i="35"/>
  <c r="F46" i="35"/>
  <c r="R45" i="35"/>
  <c r="S44" i="35"/>
  <c r="S43" i="35"/>
  <c r="T43" i="35" s="1"/>
  <c r="U43" i="35" s="1"/>
  <c r="R42" i="35"/>
  <c r="R41" i="35"/>
  <c r="R40" i="35"/>
  <c r="R39" i="35"/>
  <c r="R38" i="35"/>
  <c r="R37" i="35"/>
  <c r="R36" i="35"/>
  <c r="R35" i="35"/>
  <c r="R34" i="35"/>
  <c r="R33" i="35"/>
  <c r="R32" i="35"/>
  <c r="R31" i="35"/>
  <c r="R30" i="35"/>
  <c r="R29" i="35"/>
  <c r="R28" i="35"/>
  <c r="J27" i="35"/>
  <c r="I27" i="35"/>
  <c r="H27" i="35"/>
  <c r="G27" i="35"/>
  <c r="F27" i="35"/>
  <c r="F176" i="34"/>
  <c r="F175" i="34"/>
  <c r="F174" i="34"/>
  <c r="R173" i="34"/>
  <c r="Q173" i="34"/>
  <c r="P173" i="34"/>
  <c r="O173" i="34"/>
  <c r="N173" i="34"/>
  <c r="M173" i="34"/>
  <c r="L173" i="34"/>
  <c r="K173" i="34"/>
  <c r="J173" i="34"/>
  <c r="I173" i="34"/>
  <c r="H173" i="34"/>
  <c r="G173" i="34"/>
  <c r="F172" i="34"/>
  <c r="F171" i="34"/>
  <c r="F170" i="34"/>
  <c r="F169" i="34"/>
  <c r="R168" i="34"/>
  <c r="Q168" i="34"/>
  <c r="P168" i="34"/>
  <c r="O168" i="34"/>
  <c r="N168" i="34"/>
  <c r="M168" i="34"/>
  <c r="L168" i="34"/>
  <c r="K168" i="34"/>
  <c r="J168" i="34"/>
  <c r="I168" i="34"/>
  <c r="H168" i="34"/>
  <c r="G168" i="34"/>
  <c r="F167" i="34"/>
  <c r="F166" i="34"/>
  <c r="F165" i="34"/>
  <c r="F164" i="34"/>
  <c r="R163" i="34"/>
  <c r="Q163" i="34"/>
  <c r="P163" i="34"/>
  <c r="O163" i="34"/>
  <c r="N163" i="34"/>
  <c r="M163" i="34"/>
  <c r="L163" i="34"/>
  <c r="K163" i="34"/>
  <c r="J163" i="34"/>
  <c r="I163" i="34"/>
  <c r="H163" i="34"/>
  <c r="G163" i="34"/>
  <c r="P162" i="34"/>
  <c r="N162" i="34"/>
  <c r="J162" i="34"/>
  <c r="J158" i="34" s="1"/>
  <c r="G162" i="34"/>
  <c r="F162" i="34" s="1"/>
  <c r="F161" i="34"/>
  <c r="F160" i="34"/>
  <c r="F159" i="34"/>
  <c r="R158" i="34"/>
  <c r="Q158" i="34"/>
  <c r="O158" i="34"/>
  <c r="N158" i="34"/>
  <c r="M158" i="34"/>
  <c r="L158" i="34"/>
  <c r="K158" i="34"/>
  <c r="I158" i="34"/>
  <c r="H158" i="34"/>
  <c r="G158" i="34"/>
  <c r="F157" i="34"/>
  <c r="F156" i="34"/>
  <c r="F155" i="34"/>
  <c r="F154" i="34"/>
  <c r="F153" i="34"/>
  <c r="F152" i="34"/>
  <c r="F151" i="34"/>
  <c r="F150" i="34"/>
  <c r="F149" i="34" s="1"/>
  <c r="R149" i="34"/>
  <c r="Q149" i="34"/>
  <c r="P149" i="34"/>
  <c r="O149" i="34"/>
  <c r="N149" i="34"/>
  <c r="M149" i="34"/>
  <c r="L149" i="34"/>
  <c r="K149" i="34"/>
  <c r="J149" i="34"/>
  <c r="I149" i="34"/>
  <c r="H149" i="34"/>
  <c r="G149" i="34"/>
  <c r="F148" i="34"/>
  <c r="F147" i="34"/>
  <c r="F146" i="34" s="1"/>
  <c r="R146" i="34"/>
  <c r="Q146" i="34"/>
  <c r="P146" i="34"/>
  <c r="O146" i="34"/>
  <c r="N146" i="34"/>
  <c r="M146" i="34"/>
  <c r="L146" i="34"/>
  <c r="K146" i="34"/>
  <c r="J146" i="34"/>
  <c r="I146" i="34"/>
  <c r="H146" i="34"/>
  <c r="G146" i="34"/>
  <c r="F145" i="34"/>
  <c r="F144" i="34"/>
  <c r="F143" i="34"/>
  <c r="F142" i="34"/>
  <c r="F141" i="34"/>
  <c r="R140" i="34"/>
  <c r="Q140" i="34"/>
  <c r="P140" i="34"/>
  <c r="O140" i="34"/>
  <c r="N140" i="34"/>
  <c r="M140" i="34"/>
  <c r="L140" i="34"/>
  <c r="K140" i="34"/>
  <c r="J140" i="34"/>
  <c r="I140" i="34"/>
  <c r="H140" i="34"/>
  <c r="G140" i="34"/>
  <c r="F139" i="34"/>
  <c r="R138" i="34"/>
  <c r="Q138" i="34"/>
  <c r="P138" i="34"/>
  <c r="O138" i="34"/>
  <c r="N138" i="34"/>
  <c r="M138" i="34"/>
  <c r="L138" i="34"/>
  <c r="K138" i="34"/>
  <c r="J138" i="34"/>
  <c r="I138" i="34"/>
  <c r="H138" i="34"/>
  <c r="G138" i="34"/>
  <c r="F138" i="34"/>
  <c r="F137" i="34"/>
  <c r="F136" i="34"/>
  <c r="F135" i="34"/>
  <c r="F134" i="34"/>
  <c r="F133" i="34"/>
  <c r="F132" i="34"/>
  <c r="F131" i="34"/>
  <c r="R130" i="34"/>
  <c r="Q130" i="34"/>
  <c r="P130" i="34"/>
  <c r="O130" i="34"/>
  <c r="N130" i="34"/>
  <c r="M130" i="34"/>
  <c r="L130" i="34"/>
  <c r="K130" i="34"/>
  <c r="J130" i="34"/>
  <c r="I130" i="34"/>
  <c r="H130" i="34"/>
  <c r="G130" i="34"/>
  <c r="F129" i="34"/>
  <c r="F128" i="34" s="1"/>
  <c r="R128" i="34"/>
  <c r="Q128" i="34"/>
  <c r="P128" i="34"/>
  <c r="O128" i="34"/>
  <c r="N128" i="34"/>
  <c r="M128" i="34"/>
  <c r="L128" i="34"/>
  <c r="K128" i="34"/>
  <c r="J128" i="34"/>
  <c r="I128" i="34"/>
  <c r="H128" i="34"/>
  <c r="G128" i="34"/>
  <c r="F127" i="34"/>
  <c r="F126" i="34"/>
  <c r="F125" i="34"/>
  <c r="F124" i="34"/>
  <c r="F123" i="34"/>
  <c r="F122" i="34"/>
  <c r="F121" i="34"/>
  <c r="F120" i="34"/>
  <c r="F119" i="34"/>
  <c r="R118" i="34"/>
  <c r="Q118" i="34"/>
  <c r="P118" i="34"/>
  <c r="O118" i="34"/>
  <c r="N118" i="34"/>
  <c r="M118" i="34"/>
  <c r="L118" i="34"/>
  <c r="K118" i="34"/>
  <c r="J118" i="34"/>
  <c r="I118" i="34"/>
  <c r="H118" i="34"/>
  <c r="G118" i="34"/>
  <c r="F117" i="34"/>
  <c r="F116" i="34"/>
  <c r="F115" i="34" s="1"/>
  <c r="R115" i="34"/>
  <c r="Q115" i="34"/>
  <c r="P115" i="34"/>
  <c r="O115" i="34"/>
  <c r="N115" i="34"/>
  <c r="M115" i="34"/>
  <c r="L115" i="34"/>
  <c r="K115" i="34"/>
  <c r="J115" i="34"/>
  <c r="I115" i="34"/>
  <c r="H115" i="34"/>
  <c r="G115" i="34"/>
  <c r="F114" i="34"/>
  <c r="F113" i="34"/>
  <c r="F112" i="34"/>
  <c r="F111" i="34"/>
  <c r="F110" i="34"/>
  <c r="F109" i="34"/>
  <c r="F108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6" i="34"/>
  <c r="F105" i="34"/>
  <c r="F104" i="34"/>
  <c r="F103" i="34"/>
  <c r="F102" i="34"/>
  <c r="F101" i="34"/>
  <c r="F100" i="34" s="1"/>
  <c r="R100" i="34"/>
  <c r="Q100" i="34"/>
  <c r="P100" i="34"/>
  <c r="O100" i="34"/>
  <c r="N100" i="34"/>
  <c r="M100" i="34"/>
  <c r="L100" i="34"/>
  <c r="K100" i="34"/>
  <c r="J100" i="34"/>
  <c r="I100" i="34"/>
  <c r="H100" i="34"/>
  <c r="G100" i="34"/>
  <c r="F99" i="34"/>
  <c r="F98" i="34"/>
  <c r="F97" i="34"/>
  <c r="F96" i="34"/>
  <c r="F95" i="34"/>
  <c r="F94" i="34"/>
  <c r="F93" i="34"/>
  <c r="F92" i="34"/>
  <c r="F91" i="34"/>
  <c r="F90" i="34"/>
  <c r="F89" i="34"/>
  <c r="R88" i="34"/>
  <c r="Q88" i="34"/>
  <c r="P88" i="34"/>
  <c r="O88" i="34"/>
  <c r="N88" i="34"/>
  <c r="M88" i="34"/>
  <c r="L88" i="34"/>
  <c r="K88" i="34"/>
  <c r="J88" i="34"/>
  <c r="I88" i="34"/>
  <c r="H88" i="34"/>
  <c r="G88" i="34"/>
  <c r="F87" i="34"/>
  <c r="F86" i="34"/>
  <c r="F85" i="34"/>
  <c r="F84" i="34"/>
  <c r="F83" i="34"/>
  <c r="F82" i="34"/>
  <c r="F81" i="34"/>
  <c r="F80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8" i="34"/>
  <c r="F77" i="34"/>
  <c r="F76" i="34"/>
  <c r="F75" i="34"/>
  <c r="F74" i="34"/>
  <c r="F73" i="34"/>
  <c r="F72" i="34"/>
  <c r="F71" i="34"/>
  <c r="F70" i="34"/>
  <c r="F69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7" i="34"/>
  <c r="F66" i="34"/>
  <c r="F65" i="34"/>
  <c r="F64" i="34"/>
  <c r="F63" i="34"/>
  <c r="F62" i="34"/>
  <c r="F61" i="34"/>
  <c r="F60" i="34" s="1"/>
  <c r="R60" i="34"/>
  <c r="Q60" i="34"/>
  <c r="P60" i="34"/>
  <c r="O60" i="34"/>
  <c r="N60" i="34"/>
  <c r="M60" i="34"/>
  <c r="L60" i="34"/>
  <c r="K60" i="34"/>
  <c r="J60" i="34"/>
  <c r="I60" i="34"/>
  <c r="H60" i="34"/>
  <c r="G60" i="34"/>
  <c r="F59" i="34"/>
  <c r="F58" i="34"/>
  <c r="F57" i="34"/>
  <c r="F56" i="34"/>
  <c r="F55" i="34"/>
  <c r="F54" i="34"/>
  <c r="F53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1" i="34"/>
  <c r="F50" i="34"/>
  <c r="F49" i="34"/>
  <c r="F48" i="34"/>
  <c r="F47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R27" i="34"/>
  <c r="Q27" i="34"/>
  <c r="P27" i="34"/>
  <c r="O27" i="34"/>
  <c r="N27" i="34"/>
  <c r="M27" i="34"/>
  <c r="L27" i="34"/>
  <c r="K27" i="34"/>
  <c r="J27" i="34"/>
  <c r="I27" i="34"/>
  <c r="H27" i="34"/>
  <c r="H26" i="34" s="1"/>
  <c r="G27" i="34"/>
  <c r="F176" i="33"/>
  <c r="F175" i="33"/>
  <c r="F174" i="33"/>
  <c r="R173" i="33"/>
  <c r="Q173" i="33"/>
  <c r="P173" i="33"/>
  <c r="O173" i="33"/>
  <c r="N173" i="33"/>
  <c r="M173" i="33"/>
  <c r="L173" i="33"/>
  <c r="K173" i="33"/>
  <c r="J173" i="33"/>
  <c r="I173" i="33"/>
  <c r="H173" i="33"/>
  <c r="G173" i="33"/>
  <c r="F172" i="33"/>
  <c r="F171" i="33"/>
  <c r="F170" i="33"/>
  <c r="F169" i="33"/>
  <c r="R168" i="33"/>
  <c r="Q168" i="33"/>
  <c r="P168" i="33"/>
  <c r="O168" i="33"/>
  <c r="N168" i="33"/>
  <c r="M168" i="33"/>
  <c r="L168" i="33"/>
  <c r="K168" i="33"/>
  <c r="J168" i="33"/>
  <c r="I168" i="33"/>
  <c r="H168" i="33"/>
  <c r="G168" i="33"/>
  <c r="F167" i="33"/>
  <c r="F166" i="33"/>
  <c r="F165" i="33"/>
  <c r="F164" i="33"/>
  <c r="R163" i="33"/>
  <c r="Q163" i="33"/>
  <c r="P163" i="33"/>
  <c r="O163" i="33"/>
  <c r="N163" i="33"/>
  <c r="M163" i="33"/>
  <c r="L163" i="33"/>
  <c r="K163" i="33"/>
  <c r="J163" i="33"/>
  <c r="I163" i="33"/>
  <c r="H163" i="33"/>
  <c r="G163" i="33"/>
  <c r="F162" i="33"/>
  <c r="F161" i="33"/>
  <c r="F160" i="33"/>
  <c r="F159" i="33"/>
  <c r="R158" i="33"/>
  <c r="Q158" i="33"/>
  <c r="P158" i="33"/>
  <c r="O158" i="33"/>
  <c r="N158" i="33"/>
  <c r="M158" i="33"/>
  <c r="L158" i="33"/>
  <c r="K158" i="33"/>
  <c r="J158" i="33"/>
  <c r="I158" i="33"/>
  <c r="H158" i="33"/>
  <c r="G158" i="33"/>
  <c r="F157" i="33"/>
  <c r="F156" i="33"/>
  <c r="F155" i="33"/>
  <c r="F154" i="33"/>
  <c r="F153" i="33"/>
  <c r="F152" i="33"/>
  <c r="F151" i="33"/>
  <c r="F150" i="33"/>
  <c r="R149" i="33"/>
  <c r="Q149" i="33"/>
  <c r="P149" i="33"/>
  <c r="O149" i="33"/>
  <c r="N149" i="33"/>
  <c r="M149" i="33"/>
  <c r="L149" i="33"/>
  <c r="K149" i="33"/>
  <c r="J149" i="33"/>
  <c r="I149" i="33"/>
  <c r="H149" i="33"/>
  <c r="G149" i="33"/>
  <c r="F148" i="33"/>
  <c r="F147" i="33"/>
  <c r="R146" i="33"/>
  <c r="Q146" i="33"/>
  <c r="P146" i="33"/>
  <c r="O146" i="33"/>
  <c r="N146" i="33"/>
  <c r="M146" i="33"/>
  <c r="L146" i="33"/>
  <c r="K146" i="33"/>
  <c r="J146" i="33"/>
  <c r="I146" i="33"/>
  <c r="H146" i="33"/>
  <c r="G146" i="33"/>
  <c r="F145" i="33"/>
  <c r="F144" i="33"/>
  <c r="F143" i="33"/>
  <c r="F142" i="33"/>
  <c r="F141" i="33"/>
  <c r="R140" i="33"/>
  <c r="Q140" i="33"/>
  <c r="P140" i="33"/>
  <c r="O140" i="33"/>
  <c r="N140" i="33"/>
  <c r="M140" i="33"/>
  <c r="L140" i="33"/>
  <c r="K140" i="33"/>
  <c r="J140" i="33"/>
  <c r="I140" i="33"/>
  <c r="H140" i="33"/>
  <c r="G140" i="33"/>
  <c r="F139" i="33"/>
  <c r="R138" i="33"/>
  <c r="Q138" i="33"/>
  <c r="P138" i="33"/>
  <c r="O138" i="33"/>
  <c r="N138" i="33"/>
  <c r="M138" i="33"/>
  <c r="L138" i="33"/>
  <c r="K138" i="33"/>
  <c r="J138" i="33"/>
  <c r="I138" i="33"/>
  <c r="H138" i="33"/>
  <c r="G138" i="33"/>
  <c r="F137" i="33"/>
  <c r="F136" i="33"/>
  <c r="F135" i="33"/>
  <c r="F134" i="33"/>
  <c r="F133" i="33"/>
  <c r="F132" i="33"/>
  <c r="F131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29" i="33"/>
  <c r="R128" i="33"/>
  <c r="Q128" i="33"/>
  <c r="P128" i="33"/>
  <c r="O128" i="33"/>
  <c r="N128" i="33"/>
  <c r="M128" i="33"/>
  <c r="L128" i="33"/>
  <c r="K128" i="33"/>
  <c r="J128" i="33"/>
  <c r="I128" i="33"/>
  <c r="H128" i="33"/>
  <c r="G128" i="33"/>
  <c r="F127" i="33"/>
  <c r="F126" i="33"/>
  <c r="F125" i="33"/>
  <c r="F124" i="33"/>
  <c r="F123" i="33"/>
  <c r="F122" i="33"/>
  <c r="F121" i="33"/>
  <c r="F120" i="33"/>
  <c r="F119" i="33"/>
  <c r="R118" i="33"/>
  <c r="Q118" i="33"/>
  <c r="P118" i="33"/>
  <c r="O118" i="33"/>
  <c r="N118" i="33"/>
  <c r="M118" i="33"/>
  <c r="L118" i="33"/>
  <c r="K118" i="33"/>
  <c r="J118" i="33"/>
  <c r="I118" i="33"/>
  <c r="H118" i="33"/>
  <c r="G118" i="33"/>
  <c r="F117" i="33"/>
  <c r="F116" i="33"/>
  <c r="R115" i="33"/>
  <c r="Q115" i="33"/>
  <c r="P115" i="33"/>
  <c r="O115" i="33"/>
  <c r="N115" i="33"/>
  <c r="M115" i="33"/>
  <c r="L115" i="33"/>
  <c r="K115" i="33"/>
  <c r="J115" i="33"/>
  <c r="I115" i="33"/>
  <c r="H115" i="33"/>
  <c r="G115" i="33"/>
  <c r="F114" i="33"/>
  <c r="F113" i="33"/>
  <c r="F112" i="33"/>
  <c r="F111" i="33"/>
  <c r="F110" i="33"/>
  <c r="F109" i="33"/>
  <c r="F108" i="33"/>
  <c r="R107" i="33"/>
  <c r="Q107" i="33"/>
  <c r="P107" i="33"/>
  <c r="O107" i="33"/>
  <c r="N107" i="33"/>
  <c r="M107" i="33"/>
  <c r="L107" i="33"/>
  <c r="K107" i="33"/>
  <c r="J107" i="33"/>
  <c r="I107" i="33"/>
  <c r="H107" i="33"/>
  <c r="G107" i="33"/>
  <c r="F106" i="33"/>
  <c r="F105" i="33"/>
  <c r="F104" i="33"/>
  <c r="F103" i="33"/>
  <c r="F102" i="33"/>
  <c r="F101" i="33"/>
  <c r="R100" i="33"/>
  <c r="Q100" i="33"/>
  <c r="P100" i="33"/>
  <c r="O100" i="33"/>
  <c r="N100" i="33"/>
  <c r="M100" i="33"/>
  <c r="L100" i="33"/>
  <c r="K100" i="33"/>
  <c r="J100" i="33"/>
  <c r="I100" i="33"/>
  <c r="H100" i="33"/>
  <c r="G100" i="33"/>
  <c r="F99" i="33"/>
  <c r="F98" i="33"/>
  <c r="F97" i="33"/>
  <c r="F96" i="33"/>
  <c r="F95" i="33"/>
  <c r="F94" i="33"/>
  <c r="F93" i="33"/>
  <c r="F92" i="33"/>
  <c r="F91" i="33"/>
  <c r="F90" i="33"/>
  <c r="F89" i="33"/>
  <c r="R88" i="33"/>
  <c r="Q88" i="33"/>
  <c r="P88" i="33"/>
  <c r="O88" i="33"/>
  <c r="N88" i="33"/>
  <c r="M88" i="33"/>
  <c r="L88" i="33"/>
  <c r="K88" i="33"/>
  <c r="J88" i="33"/>
  <c r="I88" i="33"/>
  <c r="H88" i="33"/>
  <c r="G88" i="33"/>
  <c r="F87" i="33"/>
  <c r="F86" i="33"/>
  <c r="F85" i="33"/>
  <c r="F84" i="33"/>
  <c r="F83" i="33"/>
  <c r="F82" i="33"/>
  <c r="F81" i="33"/>
  <c r="F80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8" i="33"/>
  <c r="F77" i="33"/>
  <c r="F76" i="33"/>
  <c r="F75" i="33"/>
  <c r="F74" i="33"/>
  <c r="F73" i="33"/>
  <c r="F72" i="33"/>
  <c r="F71" i="33"/>
  <c r="F70" i="33"/>
  <c r="F69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7" i="33"/>
  <c r="F66" i="33"/>
  <c r="F65" i="33"/>
  <c r="F64" i="33"/>
  <c r="F63" i="33"/>
  <c r="F62" i="33"/>
  <c r="F61" i="33"/>
  <c r="R60" i="33"/>
  <c r="Q60" i="33"/>
  <c r="P60" i="33"/>
  <c r="O60" i="33"/>
  <c r="N60" i="33"/>
  <c r="M60" i="33"/>
  <c r="L60" i="33"/>
  <c r="K60" i="33"/>
  <c r="J60" i="33"/>
  <c r="I60" i="33"/>
  <c r="H60" i="33"/>
  <c r="G60" i="33"/>
  <c r="F59" i="33"/>
  <c r="F58" i="33"/>
  <c r="F57" i="33"/>
  <c r="F56" i="33"/>
  <c r="F55" i="33"/>
  <c r="F54" i="33"/>
  <c r="F53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1" i="33"/>
  <c r="F50" i="33"/>
  <c r="F49" i="33"/>
  <c r="F48" i="33"/>
  <c r="F47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L26" i="37" l="1"/>
  <c r="P26" i="37"/>
  <c r="H26" i="37"/>
  <c r="J26" i="37"/>
  <c r="I26" i="37"/>
  <c r="F118" i="37"/>
  <c r="F163" i="37"/>
  <c r="F79" i="37"/>
  <c r="G26" i="37"/>
  <c r="Q26" i="37"/>
  <c r="F60" i="37"/>
  <c r="M26" i="37"/>
  <c r="R26" i="37"/>
  <c r="F101" i="37"/>
  <c r="F100" i="37" s="1"/>
  <c r="F103" i="37"/>
  <c r="F107" i="37"/>
  <c r="F149" i="37"/>
  <c r="F168" i="37"/>
  <c r="F146" i="37"/>
  <c r="F173" i="37"/>
  <c r="O26" i="37"/>
  <c r="F130" i="37"/>
  <c r="H26" i="36"/>
  <c r="F130" i="36"/>
  <c r="I26" i="36"/>
  <c r="F163" i="36"/>
  <c r="R26" i="36"/>
  <c r="K26" i="36"/>
  <c r="F46" i="36"/>
  <c r="F149" i="36"/>
  <c r="F60" i="36"/>
  <c r="F140" i="36"/>
  <c r="F100" i="36"/>
  <c r="F79" i="36"/>
  <c r="F170" i="36"/>
  <c r="F168" i="36" s="1"/>
  <c r="M26" i="36"/>
  <c r="P26" i="36"/>
  <c r="O26" i="36"/>
  <c r="F173" i="36"/>
  <c r="R52" i="35"/>
  <c r="S27" i="35"/>
  <c r="F26" i="35"/>
  <c r="R115" i="35"/>
  <c r="R88" i="35"/>
  <c r="R100" i="35"/>
  <c r="R128" i="35"/>
  <c r="R107" i="35"/>
  <c r="R149" i="35"/>
  <c r="I26" i="35"/>
  <c r="J26" i="35"/>
  <c r="H26" i="35"/>
  <c r="R140" i="35"/>
  <c r="R138" i="35"/>
  <c r="G26" i="35"/>
  <c r="R46" i="35"/>
  <c r="R130" i="35"/>
  <c r="R146" i="35"/>
  <c r="R163" i="35"/>
  <c r="R168" i="35"/>
  <c r="T44" i="35"/>
  <c r="S173" i="35"/>
  <c r="R79" i="35"/>
  <c r="I26" i="34"/>
  <c r="L26" i="34"/>
  <c r="F107" i="34"/>
  <c r="G26" i="34"/>
  <c r="F140" i="34"/>
  <c r="F173" i="34"/>
  <c r="F118" i="34"/>
  <c r="Q26" i="34"/>
  <c r="F46" i="34"/>
  <c r="F130" i="34"/>
  <c r="N26" i="34"/>
  <c r="O26" i="34"/>
  <c r="F158" i="34"/>
  <c r="F88" i="34"/>
  <c r="R26" i="34"/>
  <c r="K26" i="34"/>
  <c r="F52" i="34"/>
  <c r="F168" i="34"/>
  <c r="F128" i="33"/>
  <c r="K26" i="33"/>
  <c r="J26" i="33"/>
  <c r="L26" i="33"/>
  <c r="F52" i="33"/>
  <c r="F46" i="33"/>
  <c r="F118" i="33"/>
  <c r="F79" i="33"/>
  <c r="F138" i="33"/>
  <c r="F68" i="33"/>
  <c r="F60" i="33"/>
  <c r="F107" i="33"/>
  <c r="F149" i="33"/>
  <c r="H26" i="33"/>
  <c r="F88" i="33"/>
  <c r="G26" i="33"/>
  <c r="F100" i="33"/>
  <c r="F115" i="33"/>
  <c r="I26" i="33"/>
  <c r="R26" i="33"/>
  <c r="Q26" i="33"/>
  <c r="N26" i="33"/>
  <c r="O26" i="33"/>
  <c r="F173" i="33"/>
  <c r="F130" i="33"/>
  <c r="F146" i="33"/>
  <c r="F168" i="33"/>
  <c r="M26" i="33"/>
  <c r="P26" i="33"/>
  <c r="F27" i="33"/>
  <c r="F140" i="33"/>
  <c r="J26" i="34"/>
  <c r="F158" i="33"/>
  <c r="F163" i="33"/>
  <c r="F27" i="34"/>
  <c r="M26" i="34"/>
  <c r="F79" i="34"/>
  <c r="F68" i="34"/>
  <c r="P158" i="34"/>
  <c r="F163" i="34"/>
  <c r="V43" i="35"/>
  <c r="J26" i="36"/>
  <c r="F27" i="36"/>
  <c r="R175" i="35"/>
  <c r="K26" i="37"/>
  <c r="F27" i="37"/>
  <c r="N26" i="37"/>
  <c r="F68" i="37"/>
  <c r="F26" i="36" l="1"/>
  <c r="U44" i="35"/>
  <c r="T27" i="35"/>
  <c r="T26" i="35" s="1"/>
  <c r="S26" i="35"/>
  <c r="F26" i="33"/>
  <c r="F26" i="37"/>
  <c r="F26" i="34"/>
  <c r="P26" i="34"/>
  <c r="W43" i="35"/>
  <c r="R173" i="35"/>
  <c r="V44" i="35" l="1"/>
  <c r="U27" i="35"/>
  <c r="X43" i="35"/>
  <c r="W44" i="35" l="1"/>
  <c r="V27" i="35"/>
  <c r="V26" i="35" s="1"/>
  <c r="U26" i="35"/>
  <c r="Y43" i="35"/>
  <c r="X44" i="35" l="1"/>
  <c r="W27" i="35"/>
  <c r="W26" i="35" s="1"/>
  <c r="Z43" i="35"/>
  <c r="Y44" i="35" l="1"/>
  <c r="X27" i="35"/>
  <c r="AA43" i="35"/>
  <c r="X26" i="35" l="1"/>
  <c r="Z44" i="35"/>
  <c r="Y27" i="35"/>
  <c r="Y26" i="35" s="1"/>
  <c r="AB43" i="35"/>
  <c r="AA44" i="35" l="1"/>
  <c r="Z27" i="35"/>
  <c r="Z26" i="35" s="1"/>
  <c r="AC43" i="35"/>
  <c r="AB44" i="35" l="1"/>
  <c r="AA27" i="35"/>
  <c r="AD43" i="35"/>
  <c r="AA26" i="35" l="1"/>
  <c r="AC44" i="35"/>
  <c r="AB27" i="35"/>
  <c r="AB26" i="35" s="1"/>
  <c r="R43" i="35"/>
  <c r="AD44" i="35" l="1"/>
  <c r="AC27" i="35"/>
  <c r="AC26" i="35" s="1"/>
  <c r="R44" i="35" l="1"/>
  <c r="AD27" i="35"/>
  <c r="AD26" i="35" l="1"/>
  <c r="R27" i="35"/>
  <c r="R26" i="35" s="1"/>
</calcChain>
</file>

<file path=xl/sharedStrings.xml><?xml version="1.0" encoding="utf-8"?>
<sst xmlns="http://schemas.openxmlformats.org/spreadsheetml/2006/main" count="4460" uniqueCount="337">
  <si>
    <t xml:space="preserve">■ 제조원가 </t>
  </si>
  <si>
    <t>계정</t>
  </si>
  <si>
    <t>예산통제항목</t>
  </si>
  <si>
    <t>비목 성격</t>
    <phoneticPr fontId="6" type="noConversion"/>
  </si>
  <si>
    <t>계정코드</t>
  </si>
  <si>
    <t>예산통제항목</t>
    <phoneticPr fontId="6" type="noConversion"/>
  </si>
  <si>
    <t>Ⅰ.원료비</t>
  </si>
  <si>
    <t>-</t>
  </si>
  <si>
    <t>원료비</t>
  </si>
  <si>
    <t>Ⅱ.재료비</t>
  </si>
  <si>
    <t>재료비</t>
  </si>
  <si>
    <t>Ⅲ.노무비</t>
  </si>
  <si>
    <t>1.임원급여</t>
  </si>
  <si>
    <t>임원급여(제조)</t>
  </si>
  <si>
    <t>인건비(기본)</t>
  </si>
  <si>
    <t>고정비</t>
  </si>
  <si>
    <t>BT432</t>
  </si>
  <si>
    <t>임원상여금(제조)</t>
  </si>
  <si>
    <t>인건비(충당)</t>
  </si>
  <si>
    <t>BT440</t>
  </si>
  <si>
    <t>2.급료와임금</t>
  </si>
  <si>
    <t/>
  </si>
  <si>
    <t>급료와임금(제조)</t>
  </si>
  <si>
    <t>상여금(제조)</t>
  </si>
  <si>
    <t>학비보조금(제조)</t>
  </si>
  <si>
    <t>시간외근무수당(제조)</t>
  </si>
  <si>
    <t>인건비(추가)</t>
  </si>
  <si>
    <t>변동비</t>
  </si>
  <si>
    <t>BT436</t>
  </si>
  <si>
    <t>휴가보상금(제조)</t>
  </si>
  <si>
    <t>시상비(제조)</t>
  </si>
  <si>
    <t>제수당(제조)</t>
  </si>
  <si>
    <t>일시급여(제조)</t>
  </si>
  <si>
    <t>3.퇴직급여전입액</t>
  </si>
  <si>
    <t>퇴직급여충당금전입액(제조)</t>
  </si>
  <si>
    <t>퇴직위로금(제조)</t>
  </si>
  <si>
    <t>퇴직급여-확정기여형(제조)</t>
  </si>
  <si>
    <t>고정비</t>
    <phoneticPr fontId="6" type="noConversion"/>
  </si>
  <si>
    <t>5102430</t>
  </si>
  <si>
    <t>Ⅳ.제조경비</t>
  </si>
  <si>
    <t>1.복리후생비</t>
  </si>
  <si>
    <t>복리후생비-통근비(제조)</t>
  </si>
  <si>
    <t>통근비(제조)</t>
  </si>
  <si>
    <t>BT327</t>
  </si>
  <si>
    <t>복리후생비-직원이전비(제조)</t>
  </si>
  <si>
    <t>직원이전비(제조)</t>
  </si>
  <si>
    <t>BT307</t>
  </si>
  <si>
    <t>복리후생비-당직비(제조)</t>
  </si>
  <si>
    <t>당직비(제조)</t>
  </si>
  <si>
    <t>BT073</t>
  </si>
  <si>
    <t>복리후생비-복지시설이용비(제조)</t>
  </si>
  <si>
    <t>복지시설이용비(제조)</t>
  </si>
  <si>
    <t>BT106</t>
  </si>
  <si>
    <t>복리후생비-후생비(제조)</t>
  </si>
  <si>
    <t>후생비</t>
  </si>
  <si>
    <t>BT386</t>
  </si>
  <si>
    <t>복리후생비-사내경조비(제조)</t>
  </si>
  <si>
    <t>BT111</t>
  </si>
  <si>
    <t>복리후생비-지원보조비(제조)</t>
  </si>
  <si>
    <t>준인건비(기본)</t>
  </si>
  <si>
    <t>BT289</t>
  </si>
  <si>
    <t>복리후생비-피복제비(제조)</t>
  </si>
  <si>
    <t>피복제비(제조)</t>
  </si>
  <si>
    <t>BT351</t>
  </si>
  <si>
    <t>복리후생비-의료위생비(제조)</t>
  </si>
  <si>
    <t>의료위생비(제조)</t>
  </si>
  <si>
    <t>BT242</t>
  </si>
  <si>
    <t>복리후생비-단체시상비(제조)</t>
  </si>
  <si>
    <t>단체시상비(제조)</t>
  </si>
  <si>
    <t>BT066</t>
  </si>
  <si>
    <t>복리후생비-문화써클보조비(제조)</t>
  </si>
  <si>
    <t>문화써클보조비(제조)</t>
  </si>
  <si>
    <t>BT089</t>
  </si>
  <si>
    <t>복리후생비-친선활동비(제조)</t>
  </si>
  <si>
    <t>친선활동비(제조)</t>
  </si>
  <si>
    <t>BT322</t>
  </si>
  <si>
    <t>복리후생비-특근급식비(제조)</t>
  </si>
  <si>
    <t>BT340</t>
  </si>
  <si>
    <t>복리후생비-식당제경비(제조)</t>
  </si>
  <si>
    <t>식당제경비(제조)</t>
  </si>
  <si>
    <t>BT185</t>
  </si>
  <si>
    <t>복리후생비-식당주부식비(제조)</t>
  </si>
  <si>
    <t>식당주부식비(제조)</t>
  </si>
  <si>
    <t>BT190</t>
  </si>
  <si>
    <t>복리후생비-법정후생비(제조)</t>
  </si>
  <si>
    <t>복리후생비-식당운영비(제조)</t>
  </si>
  <si>
    <t>BT389</t>
  </si>
  <si>
    <t>복리후생비-부서활동비(제조)</t>
  </si>
  <si>
    <t>BT394</t>
  </si>
  <si>
    <t>2.여비교통비</t>
  </si>
  <si>
    <t>여비교통비-해외출장비(제조)</t>
  </si>
  <si>
    <t>해외출장비</t>
  </si>
  <si>
    <t>BT454</t>
  </si>
  <si>
    <t>여비교통비-시외출장비(제조)</t>
  </si>
  <si>
    <t>시외출장비(제조)</t>
  </si>
  <si>
    <t>BT179</t>
  </si>
  <si>
    <t>여비교통비-시내출장비(제조)</t>
  </si>
  <si>
    <t>시내출장비(제조)</t>
  </si>
  <si>
    <t>BT170</t>
  </si>
  <si>
    <t>여비교통비-자가운전보조비(제조)</t>
  </si>
  <si>
    <t>자가운전보조비(제조)</t>
  </si>
  <si>
    <t>BT251</t>
  </si>
  <si>
    <t>여비교통비-해외여비(제조)</t>
  </si>
  <si>
    <t>BT400</t>
  </si>
  <si>
    <t>3.통신비</t>
  </si>
  <si>
    <t>통신비-시설유지비(제조)</t>
  </si>
  <si>
    <t>통신비(제조)</t>
  </si>
  <si>
    <t>BT331</t>
  </si>
  <si>
    <t>통신비-정보통신사용료(제조)</t>
  </si>
  <si>
    <t>통신비-우편전보료(제조)</t>
  </si>
  <si>
    <t>우편전보료(제조)</t>
  </si>
  <si>
    <t>BT229</t>
  </si>
  <si>
    <t>통신비-국제전화료(제조)</t>
  </si>
  <si>
    <t>통신비-시외전화료(제조)</t>
  </si>
  <si>
    <t>통신비-시내전화료(제조)</t>
  </si>
  <si>
    <t>통신비-전화료(제조)</t>
  </si>
  <si>
    <t>4.수도광열비</t>
  </si>
  <si>
    <t>수도광열비-수도료(제조)</t>
  </si>
  <si>
    <t>수도광열비(제조)</t>
  </si>
  <si>
    <t>BT146</t>
  </si>
  <si>
    <t>수도광열비-점등료(제조)</t>
  </si>
  <si>
    <t>수도광열비-전력료(제조)</t>
  </si>
  <si>
    <t>수도광열비-난방비(제조)</t>
  </si>
  <si>
    <t>수도광열비-연료비(제조)</t>
  </si>
  <si>
    <t>수도광열비-발전유류비(제조)</t>
  </si>
  <si>
    <t>수도광열비-연료난방비(제조)</t>
  </si>
  <si>
    <t>5.세금과공과</t>
  </si>
  <si>
    <t>세금과공과-인지세(제조)</t>
  </si>
  <si>
    <t>세금과공과(제조)</t>
  </si>
  <si>
    <t>BT134</t>
  </si>
  <si>
    <t>세금과공과-주민세(제조)</t>
  </si>
  <si>
    <t>세금과공과-종업원분소득세(제조)</t>
  </si>
  <si>
    <t>세금과공과-재산세(제조)</t>
  </si>
  <si>
    <t>세금과공과-차량세(제조)</t>
  </si>
  <si>
    <t>세금과공과-면허세(제조)</t>
  </si>
  <si>
    <t>세금과공과-기타제세(제조)</t>
  </si>
  <si>
    <t>세금과공과-종합부동산세(제조)</t>
  </si>
  <si>
    <t>세금과공과-협회비(제조)</t>
    <phoneticPr fontId="6" type="noConversion"/>
  </si>
  <si>
    <t>세금과공과(제조)</t>
    <phoneticPr fontId="6" type="noConversion"/>
  </si>
  <si>
    <t>세금과공과-공과금(제조)</t>
  </si>
  <si>
    <t>공과금</t>
  </si>
  <si>
    <t>BT385</t>
  </si>
  <si>
    <t>6.지급임차료</t>
  </si>
  <si>
    <t>지급임차료-건물임차료(제조)</t>
  </si>
  <si>
    <t>지급임차료(제조)</t>
  </si>
  <si>
    <t>BT298</t>
  </si>
  <si>
    <t>지급임차료-토지임차료(제조)</t>
  </si>
  <si>
    <t>지급임차료-기계임차료(제조)</t>
  </si>
  <si>
    <t>지급임차료-점용료(제조)</t>
  </si>
  <si>
    <t>지급임차료-권리사용료(제조)</t>
  </si>
  <si>
    <t>권리사용료(제조)</t>
  </si>
  <si>
    <t>BT035</t>
  </si>
  <si>
    <t>지급임차료-차량임차료(제조)</t>
  </si>
  <si>
    <t>지급임차료-차량렌트료(제조)</t>
  </si>
  <si>
    <t>BT407</t>
  </si>
  <si>
    <t>지급임차료-차량리스료(제조)</t>
  </si>
  <si>
    <t>BT408</t>
  </si>
  <si>
    <t>7.감가상각비</t>
  </si>
  <si>
    <t>감가상각비-건물(제조)</t>
  </si>
  <si>
    <t>감가상각비</t>
  </si>
  <si>
    <t>BT005</t>
  </si>
  <si>
    <t>감가상각비-구축물(제조)</t>
  </si>
  <si>
    <t>감가상각비-기계장치(제조)</t>
  </si>
  <si>
    <t>감가상각비-공구기구비품(제조)</t>
  </si>
  <si>
    <t>감가상각비-차량운반구(제조)</t>
  </si>
  <si>
    <t>감가상각비-광고시설물(제조)</t>
  </si>
  <si>
    <t>감가상각비-산업재산권(제조)</t>
  </si>
  <si>
    <t>감가상각비-개발비(제조)</t>
  </si>
  <si>
    <t>감가상각비-소프트웨어(제조)</t>
  </si>
  <si>
    <t>감가상각비-임차자산개량(제조)</t>
  </si>
  <si>
    <t>감가상각비-비품(제조)</t>
  </si>
  <si>
    <t>8.수선비</t>
  </si>
  <si>
    <t>수선비-건물(제조)</t>
  </si>
  <si>
    <t>수선비(제조)</t>
  </si>
  <si>
    <t>BT151</t>
  </si>
  <si>
    <t>수선비-구축물(제조)</t>
  </si>
  <si>
    <t>수선비-기계장치(제조)</t>
  </si>
  <si>
    <t>수선비-공구기구비품(제조)</t>
  </si>
  <si>
    <t>수선비-안전보건비(제조)</t>
    <phoneticPr fontId="6" type="noConversion"/>
  </si>
  <si>
    <t>수선비(제조)</t>
    <phoneticPr fontId="6" type="noConversion"/>
  </si>
  <si>
    <t>BT460</t>
    <phoneticPr fontId="6" type="noConversion"/>
  </si>
  <si>
    <t>수선비-안전보건비_출고(제조)</t>
    <phoneticPr fontId="6" type="noConversion"/>
  </si>
  <si>
    <t>5110160</t>
  </si>
  <si>
    <t>9.보험료</t>
  </si>
  <si>
    <t>보험료-건물(제조)</t>
  </si>
  <si>
    <t>보험료(제조)</t>
  </si>
  <si>
    <t>BT100</t>
  </si>
  <si>
    <t>보험료-기계장치(제조)</t>
  </si>
  <si>
    <t>보험료-재고품(제조)</t>
  </si>
  <si>
    <t>보험료-책임(제조)</t>
  </si>
  <si>
    <t>보험료-종합(제조)</t>
  </si>
  <si>
    <t>보험료-제보험(제조)</t>
  </si>
  <si>
    <t>보험료-차량(제조)</t>
  </si>
  <si>
    <t>10.접대비</t>
  </si>
  <si>
    <t>접대비-교제비(제조)</t>
  </si>
  <si>
    <t>교제비(제조)</t>
  </si>
  <si>
    <t>BT029</t>
  </si>
  <si>
    <t>접대비-사외경조비(제조)</t>
  </si>
  <si>
    <t>BT123</t>
  </si>
  <si>
    <t>11.경상연구개발비</t>
  </si>
  <si>
    <t>경상연구개발비-품질검정비(제조)</t>
  </si>
  <si>
    <t>품질검정비(제조)</t>
  </si>
  <si>
    <t>BT347</t>
  </si>
  <si>
    <t>경상연구개발비-검정수수료(제조)</t>
  </si>
  <si>
    <t>검정수수료(제조)</t>
  </si>
  <si>
    <t>BT010</t>
  </si>
  <si>
    <t>경상연구개발비-실험재료비_출고(제조)</t>
  </si>
  <si>
    <t>실험재료비(제조)</t>
  </si>
  <si>
    <t>BT198</t>
  </si>
  <si>
    <t>경상연구개발비-실험시약비_출고(제조)</t>
  </si>
  <si>
    <t>경상연구개발비-외부실험비(제조)</t>
  </si>
  <si>
    <t>외부실험비(제조)</t>
  </si>
  <si>
    <t>BT213</t>
  </si>
  <si>
    <t>경상연구개발비-실험재료비(제조)</t>
  </si>
  <si>
    <t>경상연구개발비-실험시약비(제조)</t>
  </si>
  <si>
    <t>경상연구개발비-품질검정비_출고(제조)</t>
  </si>
  <si>
    <t>경상연구개발비-실험재료관리비(제조)</t>
  </si>
  <si>
    <t>실험재료관리비(제조)</t>
  </si>
  <si>
    <t>12.운반비</t>
  </si>
  <si>
    <t>운반비-운임(제조)</t>
  </si>
  <si>
    <t>운반비(제조)</t>
  </si>
  <si>
    <t>BT234</t>
  </si>
  <si>
    <t>13.차량비</t>
  </si>
  <si>
    <t>차량비-수리비(제조)</t>
  </si>
  <si>
    <t>차량유지비(제조)</t>
  </si>
  <si>
    <t>BT317</t>
  </si>
  <si>
    <t>차량비-검사비(제조)</t>
  </si>
  <si>
    <t>차량비-유류비(제조)</t>
  </si>
  <si>
    <t>차량유류비(제조)</t>
  </si>
  <si>
    <t>BT312</t>
  </si>
  <si>
    <t>차량비-소모품비(제조)</t>
  </si>
  <si>
    <t>차량비-주행주차비(제조)</t>
  </si>
  <si>
    <t>차량비-운행경비(제조)</t>
  </si>
  <si>
    <t>차량비-관리비(제조)</t>
  </si>
  <si>
    <t>14.홍보비</t>
  </si>
  <si>
    <t>홍보비-홍보비(제조)</t>
  </si>
  <si>
    <t>홍보비(제조)</t>
  </si>
  <si>
    <t>BT368</t>
  </si>
  <si>
    <t>15.교육훈련비</t>
  </si>
  <si>
    <t>교육훈련비-사내교육훈련비(제조)</t>
  </si>
  <si>
    <t>사내교육훈련비</t>
  </si>
  <si>
    <t>BT114</t>
  </si>
  <si>
    <t>교육훈련비-향군훈련비(제조)</t>
  </si>
  <si>
    <t>향군훈련비(제조)</t>
  </si>
  <si>
    <t>BT363</t>
  </si>
  <si>
    <t>교육훈련비-사외교육훈련비(제조)</t>
  </si>
  <si>
    <t>사외교육훈련비</t>
  </si>
  <si>
    <t>BT125</t>
  </si>
  <si>
    <t>교육훈련비-회의비(제조)</t>
  </si>
  <si>
    <t>BT379</t>
  </si>
  <si>
    <t>교육훈련비-업무추진비(제조)</t>
  </si>
  <si>
    <t>BT202</t>
  </si>
  <si>
    <t>16.사업진행비</t>
    <phoneticPr fontId="6" type="noConversion"/>
  </si>
  <si>
    <t>사업진행비-회의비(제조)</t>
    <phoneticPr fontId="6" type="noConversion"/>
  </si>
  <si>
    <t>회의비(제조)</t>
  </si>
  <si>
    <t>사업진행비-사업진행비(제조)</t>
    <phoneticPr fontId="6" type="noConversion"/>
  </si>
  <si>
    <t>사업진행비(제조)</t>
    <phoneticPr fontId="6" type="noConversion"/>
  </si>
  <si>
    <t>17.도서문구비</t>
  </si>
  <si>
    <t>도서문구비-도서비(제조)</t>
  </si>
  <si>
    <t>도서비(제조)</t>
  </si>
  <si>
    <t>BT080</t>
  </si>
  <si>
    <t>도서문구비-신문구독료(제조)</t>
  </si>
  <si>
    <t>신문구독료(제조)</t>
  </si>
  <si>
    <t>BT195</t>
  </si>
  <si>
    <t>도서문구비-잡지구독료(제조)</t>
  </si>
  <si>
    <t>잡지구독료(제조)</t>
  </si>
  <si>
    <t>BT263</t>
  </si>
  <si>
    <t>도서문구비-자료구독료(제조)</t>
  </si>
  <si>
    <t>자료구독료</t>
  </si>
  <si>
    <t>BT253</t>
  </si>
  <si>
    <t>도서문구비-사무용품비(제조)</t>
  </si>
  <si>
    <t>사무용품비(제조)</t>
  </si>
  <si>
    <t>BT118</t>
  </si>
  <si>
    <t>도서문구비-용지비(제조)</t>
  </si>
  <si>
    <t>용지비(제조)</t>
  </si>
  <si>
    <t>BT224</t>
  </si>
  <si>
    <t>도서문구비-정기구독료(제조)</t>
  </si>
  <si>
    <t>BT418</t>
  </si>
  <si>
    <t>도서문구비-사무용품비_출고(제조)</t>
  </si>
  <si>
    <t>사무용품비_출고(제조)</t>
  </si>
  <si>
    <t>18.소모품비</t>
  </si>
  <si>
    <t>소모품비-소모성기구비(제조)</t>
  </si>
  <si>
    <t>소모품비(제조)</t>
  </si>
  <si>
    <t>BT140</t>
  </si>
  <si>
    <t>소모품비-소모성소모품관리비(제조)</t>
  </si>
  <si>
    <t>소모품비-소모성잡품비(제조)</t>
  </si>
  <si>
    <t>소모품비-소모성소모품비(제조)</t>
  </si>
  <si>
    <t>19.지급수수료</t>
  </si>
  <si>
    <t>지급수수료(제조)</t>
  </si>
  <si>
    <t>BT293</t>
  </si>
  <si>
    <t>금융수수료(제조)</t>
  </si>
  <si>
    <t>BT043</t>
  </si>
  <si>
    <t>외주가공수수료(제조)</t>
  </si>
  <si>
    <t>BT217</t>
  </si>
  <si>
    <t>제수수료(제조)</t>
  </si>
  <si>
    <t>수수료(제조)</t>
  </si>
  <si>
    <t>BT156</t>
  </si>
  <si>
    <t>20.용역비</t>
  </si>
  <si>
    <t>용역비-제품(제조)</t>
  </si>
  <si>
    <t>제품용역비(제조)</t>
  </si>
  <si>
    <t>BT281</t>
  </si>
  <si>
    <t>용역비-전산(제조)</t>
  </si>
  <si>
    <t>전산용역비(제조)</t>
  </si>
  <si>
    <t>BT272</t>
  </si>
  <si>
    <t>용역비-시설관리(제조)</t>
  </si>
  <si>
    <t>용역비-시설관리비(제조)</t>
  </si>
  <si>
    <t>BT016</t>
  </si>
  <si>
    <t>용역비-기타(제조)</t>
  </si>
  <si>
    <t>기타용역비(제조)</t>
  </si>
  <si>
    <t>BT057</t>
  </si>
  <si>
    <t>21.잡비</t>
  </si>
  <si>
    <t>잡비-조원비(제조)</t>
  </si>
  <si>
    <t>조원비(제조)</t>
  </si>
  <si>
    <t>BT287</t>
  </si>
  <si>
    <t>잡비-환경미화비(제조)</t>
  </si>
  <si>
    <t>환경미화비(제조)</t>
  </si>
  <si>
    <t>BT374</t>
  </si>
  <si>
    <t>잡비-기타(제조)</t>
  </si>
  <si>
    <t>잡비(제조)</t>
  </si>
  <si>
    <t>BT257</t>
  </si>
  <si>
    <t>SM_SMF</t>
  </si>
  <si>
    <t>송도공장</t>
    <phoneticPr fontId="6" type="noConversion"/>
  </si>
  <si>
    <t>SM_SAO</t>
  </si>
  <si>
    <t>송도공장제조팀</t>
    <phoneticPr fontId="6" type="noConversion"/>
  </si>
  <si>
    <t>SM_SVO</t>
  </si>
  <si>
    <t>송도공장밸리데이션팀</t>
    <phoneticPr fontId="6" type="noConversion"/>
  </si>
  <si>
    <t>경상연구개발비-실험재료관리비</t>
    <phoneticPr fontId="6" type="noConversion"/>
  </si>
  <si>
    <t>SM_SDO</t>
  </si>
  <si>
    <t>송도공장생산지원팀</t>
  </si>
  <si>
    <t>2026.'10</t>
    <phoneticPr fontId="3" type="noConversion"/>
  </si>
  <si>
    <t>SM_SHO</t>
  </si>
  <si>
    <t>송도공장설비관리팀</t>
    <phoneticPr fontId="6" type="noConversion"/>
  </si>
  <si>
    <t>SM_QSF</t>
    <phoneticPr fontId="6" type="noConversion"/>
  </si>
  <si>
    <t>품질경영실품질관리6팀</t>
    <phoneticPr fontId="6" type="noConversion"/>
  </si>
  <si>
    <t>계정</t>
    <phoneticPr fontId="6" type="noConversion"/>
  </si>
  <si>
    <t>SM_SQA</t>
  </si>
  <si>
    <t>품질경영실품질보증3팀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</si>
</sst>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thick">
        <color theme="5"/>
      </left>
      <right style="hair">
        <color indexed="64"/>
      </right>
      <top style="thick">
        <color theme="5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thick">
        <color theme="5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2" fillId="0" borderId="0" xfId="2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3" borderId="3" xfId="3" applyNumberFormat="1" applyFont="1" applyFill="1" applyBorder="1" applyAlignment="1">
      <alignment horizontal="center" vertical="center"/>
    </xf>
    <xf numFmtId="0" fontId="5" fillId="3" borderId="4" xfId="3" applyNumberFormat="1" applyFont="1" applyFill="1" applyBorder="1" applyAlignment="1">
      <alignment horizontal="center" vertical="center"/>
    </xf>
    <xf numFmtId="0" fontId="5" fillId="3" borderId="5" xfId="3" applyNumberFormat="1" applyFont="1" applyFill="1" applyBorder="1" applyAlignment="1">
      <alignment horizontal="center" vertical="center"/>
    </xf>
    <xf numFmtId="0" fontId="5" fillId="3" borderId="6" xfId="3" applyNumberFormat="1" applyFont="1" applyFill="1" applyBorder="1" applyAlignment="1">
      <alignment horizontal="center" vertical="center"/>
    </xf>
    <xf numFmtId="2" fontId="5" fillId="3" borderId="6" xfId="3" applyNumberFormat="1" applyFont="1" applyFill="1" applyBorder="1" applyAlignment="1">
      <alignment horizontal="center" vertical="center"/>
    </xf>
    <xf numFmtId="0" fontId="5" fillId="3" borderId="7" xfId="3" applyNumberFormat="1" applyFont="1" applyFill="1" applyBorder="1" applyAlignment="1">
      <alignment horizontal="center" vertical="center"/>
    </xf>
    <xf numFmtId="0" fontId="5" fillId="4" borderId="1" xfId="3" applyNumberFormat="1" applyFont="1" applyFill="1" applyBorder="1" applyAlignment="1">
      <alignment horizontal="center" vertical="center"/>
    </xf>
    <xf numFmtId="0" fontId="2" fillId="5" borderId="8" xfId="4" applyFill="1" applyBorder="1"/>
    <xf numFmtId="0" fontId="4" fillId="5" borderId="0" xfId="1" applyFill="1" applyBorder="1">
      <alignment vertical="center"/>
    </xf>
    <xf numFmtId="0" fontId="4" fillId="5" borderId="0" xfId="1" applyFill="1" applyBorder="1" applyAlignment="1">
      <alignment horizontal="center" vertical="center"/>
    </xf>
    <xf numFmtId="3" fontId="4" fillId="5" borderId="9" xfId="1" applyNumberFormat="1" applyFill="1" applyBorder="1">
      <alignment vertical="center"/>
    </xf>
    <xf numFmtId="3" fontId="4" fillId="5" borderId="12" xfId="1" applyNumberFormat="1" applyFill="1" applyBorder="1">
      <alignment vertical="center"/>
    </xf>
    <xf numFmtId="0" fontId="2" fillId="0" borderId="8" xfId="4" applyBorder="1" applyAlignment="1">
      <alignment horizontal="left" indent="1"/>
    </xf>
    <xf numFmtId="0" fontId="4" fillId="0" borderId="0" xfId="1" applyBorder="1">
      <alignment vertical="center"/>
    </xf>
    <xf numFmtId="0" fontId="4" fillId="0" borderId="0" xfId="1" applyBorder="1" applyAlignment="1">
      <alignment horizontal="center" vertical="center"/>
    </xf>
    <xf numFmtId="3" fontId="4" fillId="0" borderId="9" xfId="1" applyNumberFormat="1" applyBorder="1">
      <alignment vertical="center"/>
    </xf>
    <xf numFmtId="3" fontId="4" fillId="0" borderId="13" xfId="1" applyNumberFormat="1" applyBorder="1">
      <alignment vertical="center"/>
    </xf>
    <xf numFmtId="3" fontId="4" fillId="0" borderId="12" xfId="1" applyNumberFormat="1" applyBorder="1">
      <alignment vertical="center"/>
    </xf>
    <xf numFmtId="3" fontId="0" fillId="5" borderId="0" xfId="0" applyNumberFormat="1" applyFill="1" applyBorder="1" applyAlignment="1">
      <alignment horizontal="center" vertical="center"/>
    </xf>
    <xf numFmtId="3" fontId="0" fillId="5" borderId="9" xfId="0" applyNumberFormat="1" applyFill="1" applyBorder="1">
      <alignment vertical="center"/>
    </xf>
    <xf numFmtId="0" fontId="2" fillId="6" borderId="8" xfId="4" applyFill="1" applyBorder="1" applyAlignment="1">
      <alignment horizontal="left" indent="1"/>
    </xf>
    <xf numFmtId="0" fontId="4" fillId="6" borderId="0" xfId="1" applyFill="1" applyBorder="1">
      <alignment vertical="center"/>
    </xf>
    <xf numFmtId="0" fontId="4" fillId="6" borderId="0" xfId="1" applyFill="1" applyBorder="1" applyAlignment="1">
      <alignment horizontal="center" vertical="center"/>
    </xf>
    <xf numFmtId="3" fontId="4" fillId="6" borderId="9" xfId="5" applyNumberFormat="1" applyFill="1" applyBorder="1">
      <alignment vertical="center"/>
    </xf>
    <xf numFmtId="3" fontId="0" fillId="6" borderId="9" xfId="0" applyNumberFormat="1" applyFill="1" applyBorder="1">
      <alignment vertical="center"/>
    </xf>
    <xf numFmtId="3" fontId="0" fillId="6" borderId="10" xfId="0" applyNumberFormat="1" applyFill="1" applyBorder="1">
      <alignment vertical="center"/>
    </xf>
    <xf numFmtId="3" fontId="0" fillId="6" borderId="11" xfId="0" applyNumberFormat="1" applyFill="1" applyBorder="1">
      <alignment vertical="center"/>
    </xf>
    <xf numFmtId="3" fontId="0" fillId="6" borderId="13" xfId="0" applyNumberFormat="1" applyFill="1" applyBorder="1">
      <alignment vertical="center"/>
    </xf>
    <xf numFmtId="0" fontId="2" fillId="0" borderId="8" xfId="4" applyBorder="1" applyAlignment="1">
      <alignment horizontal="left" indent="2"/>
    </xf>
    <xf numFmtId="3" fontId="4" fillId="0" borderId="9" xfId="5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11" xfId="0" applyNumberFormat="1" applyBorder="1">
      <alignment vertical="center"/>
    </xf>
    <xf numFmtId="3" fontId="0" fillId="0" borderId="13" xfId="0" applyNumberFormat="1" applyBorder="1">
      <alignment vertical="center"/>
    </xf>
    <xf numFmtId="0" fontId="2" fillId="0" borderId="0" xfId="4" applyBorder="1" applyAlignment="1">
      <alignment horizontal="left" indent="2"/>
    </xf>
    <xf numFmtId="3" fontId="4" fillId="6" borderId="10" xfId="5" applyNumberFormat="1" applyFill="1" applyBorder="1">
      <alignment vertical="center"/>
    </xf>
    <xf numFmtId="0" fontId="4" fillId="0" borderId="0" xfId="1" applyFill="1" applyBorder="1">
      <alignment vertical="center"/>
    </xf>
    <xf numFmtId="3" fontId="4" fillId="5" borderId="9" xfId="5" applyNumberFormat="1" applyFill="1" applyBorder="1">
      <alignment vertical="center"/>
    </xf>
    <xf numFmtId="3" fontId="4" fillId="5" borderId="11" xfId="5" applyNumberFormat="1" applyFill="1" applyBorder="1">
      <alignment vertical="center"/>
    </xf>
    <xf numFmtId="3" fontId="4" fillId="5" borderId="12" xfId="5" applyNumberFormat="1" applyFill="1" applyBorder="1">
      <alignment vertical="center"/>
    </xf>
    <xf numFmtId="3" fontId="4" fillId="6" borderId="9" xfId="1" applyNumberFormat="1" applyFill="1" applyBorder="1">
      <alignment vertical="center"/>
    </xf>
    <xf numFmtId="3" fontId="4" fillId="6" borderId="13" xfId="1" applyNumberFormat="1" applyFill="1" applyBorder="1">
      <alignment vertical="center"/>
    </xf>
    <xf numFmtId="3" fontId="4" fillId="6" borderId="8" xfId="5" applyNumberFormat="1" applyFill="1" applyBorder="1">
      <alignment vertical="center"/>
    </xf>
    <xf numFmtId="3" fontId="4" fillId="6" borderId="11" xfId="5" applyNumberFormat="1" applyFill="1" applyBorder="1">
      <alignment vertical="center"/>
    </xf>
    <xf numFmtId="3" fontId="4" fillId="6" borderId="12" xfId="5" applyNumberFormat="1" applyFill="1" applyBorder="1">
      <alignment vertical="center"/>
    </xf>
    <xf numFmtId="3" fontId="4" fillId="0" borderId="8" xfId="5" applyNumberFormat="1" applyBorder="1">
      <alignment vertical="center"/>
    </xf>
    <xf numFmtId="3" fontId="4" fillId="0" borderId="11" xfId="5" applyNumberFormat="1" applyBorder="1">
      <alignment vertical="center"/>
    </xf>
    <xf numFmtId="3" fontId="4" fillId="0" borderId="12" xfId="5" applyNumberFormat="1" applyBorder="1">
      <alignment vertical="center"/>
    </xf>
    <xf numFmtId="0" fontId="2" fillId="0" borderId="8" xfId="4" applyFill="1" applyBorder="1" applyAlignment="1">
      <alignment horizontal="left" indent="2"/>
    </xf>
    <xf numFmtId="3" fontId="4" fillId="0" borderId="8" xfId="5" applyNumberFormat="1" applyFill="1" applyBorder="1">
      <alignment vertical="center"/>
    </xf>
    <xf numFmtId="3" fontId="4" fillId="0" borderId="11" xfId="5" applyNumberFormat="1" applyFill="1" applyBorder="1">
      <alignment vertical="center"/>
    </xf>
    <xf numFmtId="0" fontId="2" fillId="0" borderId="14" xfId="4" applyBorder="1" applyAlignment="1">
      <alignment horizontal="left" indent="2"/>
    </xf>
    <xf numFmtId="0" fontId="4" fillId="0" borderId="15" xfId="1" applyBorder="1">
      <alignment vertical="center"/>
    </xf>
    <xf numFmtId="0" fontId="4" fillId="0" borderId="15" xfId="1" applyBorder="1" applyAlignment="1">
      <alignment horizontal="center" vertical="center"/>
    </xf>
    <xf numFmtId="3" fontId="4" fillId="0" borderId="16" xfId="5" applyNumberFormat="1" applyBorder="1">
      <alignment vertical="center"/>
    </xf>
    <xf numFmtId="3" fontId="4" fillId="0" borderId="16" xfId="1" applyNumberFormat="1" applyBorder="1">
      <alignment vertical="center"/>
    </xf>
    <xf numFmtId="3" fontId="4" fillId="0" borderId="14" xfId="5" applyNumberFormat="1" applyBorder="1">
      <alignment vertical="center"/>
    </xf>
    <xf numFmtId="3" fontId="4" fillId="0" borderId="18" xfId="5" applyNumberFormat="1" applyBorder="1">
      <alignment vertical="center"/>
    </xf>
    <xf numFmtId="0" fontId="2" fillId="0" borderId="8" xfId="4" applyBorder="1" applyAlignment="1">
      <alignment horizontal="left" vertical="center" indent="2"/>
    </xf>
    <xf numFmtId="0" fontId="4" fillId="0" borderId="0" xfId="1" applyFont="1" applyFill="1" applyBorder="1">
      <alignment vertical="center"/>
    </xf>
    <xf numFmtId="0" fontId="4" fillId="0" borderId="0" xfId="5">
      <alignment vertical="center"/>
    </xf>
    <xf numFmtId="0" fontId="4" fillId="0" borderId="0" xfId="5" applyAlignment="1">
      <alignment horizontal="center" vertical="center"/>
    </xf>
    <xf numFmtId="0" fontId="5" fillId="4" borderId="1" xfId="3" quotePrefix="1" applyNumberFormat="1" applyFont="1" applyFill="1" applyBorder="1" applyAlignment="1">
      <alignment horizontal="center" vertical="center"/>
    </xf>
    <xf numFmtId="0" fontId="4" fillId="5" borderId="0" xfId="5" applyFill="1" applyBorder="1">
      <alignment vertical="center"/>
    </xf>
    <xf numFmtId="0" fontId="4" fillId="5" borderId="0" xfId="5" applyFill="1" applyBorder="1" applyAlignment="1">
      <alignment horizontal="center" vertical="center"/>
    </xf>
    <xf numFmtId="0" fontId="4" fillId="0" borderId="0" xfId="5" applyBorder="1">
      <alignment vertical="center"/>
    </xf>
    <xf numFmtId="0" fontId="4" fillId="0" borderId="0" xfId="5" applyBorder="1" applyAlignment="1">
      <alignment horizontal="center" vertical="center"/>
    </xf>
    <xf numFmtId="0" fontId="4" fillId="6" borderId="0" xfId="5" applyFill="1" applyBorder="1">
      <alignment vertical="center"/>
    </xf>
    <xf numFmtId="0" fontId="4" fillId="6" borderId="0" xfId="5" applyFill="1" applyBorder="1" applyAlignment="1">
      <alignment horizontal="center" vertical="center"/>
    </xf>
    <xf numFmtId="0" fontId="4" fillId="0" borderId="0" xfId="5" applyFill="1" applyBorder="1">
      <alignment vertical="center"/>
    </xf>
    <xf numFmtId="3" fontId="4" fillId="5" borderId="10" xfId="5" applyNumberFormat="1" applyFill="1" applyBorder="1">
      <alignment vertical="center"/>
    </xf>
    <xf numFmtId="3" fontId="4" fillId="5" borderId="13" xfId="5" applyNumberFormat="1" applyFill="1" applyBorder="1">
      <alignment vertical="center"/>
    </xf>
    <xf numFmtId="3" fontId="4" fillId="6" borderId="13" xfId="5" applyNumberFormat="1" applyFill="1" applyBorder="1">
      <alignment vertical="center"/>
    </xf>
    <xf numFmtId="3" fontId="4" fillId="0" borderId="10" xfId="5" applyNumberFormat="1" applyBorder="1">
      <alignment vertical="center"/>
    </xf>
    <xf numFmtId="3" fontId="4" fillId="0" borderId="13" xfId="5" applyNumberFormat="1" applyBorder="1">
      <alignment vertical="center"/>
    </xf>
    <xf numFmtId="3" fontId="5" fillId="0" borderId="11" xfId="5" applyNumberFormat="1" applyFont="1" applyBorder="1">
      <alignment vertical="center"/>
    </xf>
    <xf numFmtId="3" fontId="2" fillId="0" borderId="11" xfId="5" applyNumberFormat="1" applyFont="1" applyBorder="1">
      <alignment vertical="center"/>
    </xf>
    <xf numFmtId="0" fontId="4" fillId="0" borderId="15" xfId="5" applyBorder="1">
      <alignment vertical="center"/>
    </xf>
    <xf numFmtId="0" fontId="4" fillId="0" borderId="15" xfId="5" applyBorder="1" applyAlignment="1">
      <alignment horizontal="center" vertical="center"/>
    </xf>
    <xf numFmtId="3" fontId="4" fillId="0" borderId="17" xfId="5" applyNumberFormat="1" applyBorder="1">
      <alignment vertical="center"/>
    </xf>
    <xf numFmtId="3" fontId="4" fillId="0" borderId="19" xfId="5" applyNumberFormat="1" applyBorder="1">
      <alignment vertical="center"/>
    </xf>
    <xf numFmtId="2" fontId="5" fillId="4" borderId="1" xfId="3" quotePrefix="1" applyNumberFormat="1" applyFont="1" applyFill="1" applyBorder="1" applyAlignment="1">
      <alignment horizontal="center" vertical="center"/>
    </xf>
    <xf numFmtId="3" fontId="4" fillId="7" borderId="9" xfId="5" applyNumberFormat="1" applyFill="1" applyBorder="1">
      <alignment vertical="center"/>
    </xf>
    <xf numFmtId="0" fontId="4" fillId="0" borderId="0" xfId="5" applyFont="1" applyFill="1" applyBorder="1">
      <alignment vertical="center"/>
    </xf>
    <xf numFmtId="0" fontId="5" fillId="0" borderId="0" xfId="1" applyFont="1">
      <alignment vertical="center"/>
    </xf>
    <xf numFmtId="3" fontId="5" fillId="8" borderId="9" xfId="1" applyNumberFormat="1" applyFont="1" applyFill="1" applyBorder="1">
      <alignment vertical="center"/>
    </xf>
    <xf numFmtId="3" fontId="4" fillId="0" borderId="0" xfId="5" applyNumberFormat="1" applyBorder="1">
      <alignment vertical="center"/>
    </xf>
    <xf numFmtId="0" fontId="4" fillId="0" borderId="0" xfId="5" applyFill="1" applyBorder="1" applyAlignment="1">
      <alignment horizontal="center" vertical="center"/>
    </xf>
    <xf numFmtId="3" fontId="4" fillId="0" borderId="9" xfId="5" applyNumberFormat="1" applyFill="1" applyBorder="1">
      <alignment vertical="center"/>
    </xf>
    <xf numFmtId="3" fontId="4" fillId="0" borderId="10" xfId="5" applyNumberFormat="1" applyFill="1" applyBorder="1">
      <alignment vertical="center"/>
    </xf>
    <xf numFmtId="3" fontId="4" fillId="0" borderId="13" xfId="5" applyNumberFormat="1" applyFill="1" applyBorder="1">
      <alignment vertical="center"/>
    </xf>
    <xf numFmtId="0" fontId="4" fillId="0" borderId="0" xfId="5" applyFill="1">
      <alignment vertical="center"/>
    </xf>
    <xf numFmtId="3" fontId="4" fillId="6" borderId="0" xfId="5" applyNumberFormat="1" applyFill="1" applyBorder="1">
      <alignment vertical="center"/>
    </xf>
    <xf numFmtId="3" fontId="0" fillId="0" borderId="9" xfId="0" applyNumberFormat="1" applyBorder="1" applyAlignment="1">
      <alignment vertical="center"/>
    </xf>
    <xf numFmtId="3" fontId="5" fillId="8" borderId="9" xfId="5" applyNumberFormat="1" applyFont="1" applyFill="1" applyBorder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5" fillId="0" borderId="0" xfId="9" applyFont="1">
      <alignment vertical="center"/>
    </xf>
    <xf numFmtId="0" fontId="1" fillId="5" borderId="0" xfId="8" applyFill="1" applyBorder="1">
      <alignment vertical="center"/>
    </xf>
    <xf numFmtId="0" fontId="1" fillId="5" borderId="0" xfId="8" applyFill="1" applyBorder="1" applyAlignment="1">
      <alignment horizontal="center" vertical="center"/>
    </xf>
    <xf numFmtId="3" fontId="1" fillId="5" borderId="9" xfId="8" applyNumberFormat="1" applyFill="1" applyBorder="1">
      <alignment vertical="center"/>
    </xf>
    <xf numFmtId="3" fontId="1" fillId="5" borderId="12" xfId="8" applyNumberFormat="1" applyFill="1" applyBorder="1">
      <alignment vertical="center"/>
    </xf>
    <xf numFmtId="0" fontId="1" fillId="0" borderId="0" xfId="8" applyBorder="1">
      <alignment vertical="center"/>
    </xf>
    <xf numFmtId="0" fontId="1" fillId="0" borderId="0" xfId="8" applyBorder="1" applyAlignment="1">
      <alignment horizontal="center" vertical="center"/>
    </xf>
    <xf numFmtId="3" fontId="1" fillId="0" borderId="9" xfId="8" applyNumberFormat="1" applyBorder="1">
      <alignment vertical="center"/>
    </xf>
    <xf numFmtId="3" fontId="1" fillId="0" borderId="12" xfId="8" applyNumberFormat="1" applyBorder="1">
      <alignment vertical="center"/>
    </xf>
    <xf numFmtId="0" fontId="1" fillId="6" borderId="0" xfId="8" applyFill="1" applyBorder="1">
      <alignment vertical="center"/>
    </xf>
    <xf numFmtId="0" fontId="1" fillId="6" borderId="0" xfId="8" applyFill="1" applyBorder="1" applyAlignment="1">
      <alignment horizontal="center" vertical="center"/>
    </xf>
    <xf numFmtId="3" fontId="1" fillId="6" borderId="9" xfId="8" applyNumberFormat="1" applyFill="1" applyBorder="1">
      <alignment vertical="center"/>
    </xf>
    <xf numFmtId="0" fontId="1" fillId="0" borderId="0" xfId="8" applyFill="1" applyBorder="1">
      <alignment vertical="center"/>
    </xf>
    <xf numFmtId="0" fontId="1" fillId="0" borderId="0" xfId="8" applyFill="1" applyBorder="1" applyAlignment="1">
      <alignment horizontal="center" vertical="center"/>
    </xf>
    <xf numFmtId="3" fontId="1" fillId="0" borderId="9" xfId="8" applyNumberFormat="1" applyFill="1" applyBorder="1">
      <alignment vertical="center"/>
    </xf>
    <xf numFmtId="0" fontId="1" fillId="0" borderId="0" xfId="8" applyFill="1">
      <alignment vertical="center"/>
    </xf>
    <xf numFmtId="3" fontId="5" fillId="8" borderId="9" xfId="8" applyNumberFormat="1" applyFont="1" applyFill="1" applyBorder="1">
      <alignment vertical="center"/>
    </xf>
    <xf numFmtId="0" fontId="2" fillId="0" borderId="0" xfId="4" applyFill="1" applyBorder="1" applyAlignment="1">
      <alignment horizontal="left" indent="2"/>
    </xf>
    <xf numFmtId="0" fontId="1" fillId="0" borderId="15" xfId="8" applyBorder="1">
      <alignment vertical="center"/>
    </xf>
    <xf numFmtId="0" fontId="1" fillId="0" borderId="15" xfId="8" applyBorder="1" applyAlignment="1">
      <alignment horizontal="center" vertical="center"/>
    </xf>
    <xf numFmtId="3" fontId="1" fillId="0" borderId="16" xfId="8" applyNumberFormat="1" applyBorder="1">
      <alignment vertical="center"/>
    </xf>
    <xf numFmtId="0" fontId="1" fillId="0" borderId="0" xfId="8" applyFont="1" applyFill="1" applyBorder="1">
      <alignment vertical="center"/>
    </xf>
    <xf numFmtId="3" fontId="1" fillId="5" borderId="0" xfId="8" applyNumberFormat="1" applyFill="1" applyBorder="1" applyAlignment="1">
      <alignment horizontal="center" vertical="center"/>
    </xf>
    <xf numFmtId="3" fontId="1" fillId="6" borderId="0" xfId="8" applyNumberFormat="1" applyFill="1" applyBorder="1">
      <alignment vertical="center"/>
    </xf>
    <xf numFmtId="3" fontId="1" fillId="0" borderId="0" xfId="8" applyNumberFormat="1" applyBorder="1">
      <alignment vertical="center"/>
    </xf>
  </cellXfs>
  <cellStyles count="10">
    <cellStyle name="백분율 2" xfId="6" xr:uid="{1733F4B2-81BD-4213-A120-0355A046A1EB}"/>
    <cellStyle name="표준" xfId="0" builtinId="0"/>
    <cellStyle name="표준 2 2" xfId="5" xr:uid="{90D34D88-C02C-4BB5-B821-F6B6B306731A}"/>
    <cellStyle name="표준 2 2 2" xfId="7" xr:uid="{2AF5ED62-7700-43ED-A8CD-380EBD503003}"/>
    <cellStyle name="표준 2 2 3" xfId="8" xr:uid="{BB7121B3-7652-43B0-A467-CABE3A9E47F5}"/>
    <cellStyle name="표준 2 3" xfId="1" xr:uid="{FB20F260-BA28-4EA6-A292-6064CE77C34B}"/>
    <cellStyle name="표준 2 3 2" xfId="9" xr:uid="{933EE2BE-E6F4-43B9-BFC3-DC1FEC70984B}"/>
    <cellStyle name="표준_2024년" xfId="2" xr:uid="{BB027EDE-432E-4F88-AF43-75E35DA2B3AA}"/>
    <cellStyle name="표준_Sheet1" xfId="4" xr:uid="{048289F8-A8F7-4543-B2F2-4D98B3B823F8}"/>
    <cellStyle name="표준_인건비" xfId="3" xr:uid="{98DCC4FD-0026-44F7-B921-8E09F5C22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EF46-B1CD-4D4D-A817-4B78C1582F8B}">
  <sheetPr>
    <tabColor theme="9"/>
  </sheetPr>
  <dimension ref="A1:R176"/>
  <sheetViews>
    <sheetView tabSelected="1" zoomScale="85" zoomScaleNormal="85" workbookViewId="0">
      <pane xSplit="5" ySplit="4" topLeftCell="F101" activePane="bottomRight" state="frozen"/>
      <selection activeCell="AI146" sqref="AI146"/>
      <selection pane="topRight" activeCell="AI146" sqref="AI146"/>
      <selection pane="bottomLeft" activeCell="AI146" sqref="AI146"/>
      <selection pane="bottomRight" activeCell="N184" sqref="N183:N184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875" style="66" customWidth="1" outlineLevel="1"/>
    <col min="4" max="4" width="9.25" style="67" customWidth="1" outlineLevel="1"/>
    <col min="5" max="5" width="13.25" style="67" customWidth="1" outlineLevel="1"/>
    <col min="6" max="6" width="14.25" style="66" bestFit="1" customWidth="1"/>
    <col min="7" max="18" width="14.25" style="66" customWidth="1" outlineLevel="1"/>
    <col min="19" max="16384" width="9" style="66"/>
  </cols>
  <sheetData>
    <row r="1" spans="1:18" x14ac:dyDescent="0.3">
      <c r="A1" s="89" t="s">
        <v>320</v>
      </c>
    </row>
    <row r="2" spans="1:18" x14ac:dyDescent="0.3">
      <c r="A2" s="66" t="s">
        <v>0</v>
      </c>
    </row>
    <row r="3" spans="1:18" x14ac:dyDescent="0.3">
      <c r="A3" s="3" t="s">
        <v>321</v>
      </c>
    </row>
    <row r="4" spans="1:18" x14ac:dyDescent="0.3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>
        <v>2026.1</v>
      </c>
      <c r="Q4" s="12">
        <v>2026.11</v>
      </c>
      <c r="R4" s="12">
        <v>2026.12</v>
      </c>
    </row>
    <row r="5" spans="1:18" x14ac:dyDescent="0.3">
      <c r="A5" s="13" t="s">
        <v>6</v>
      </c>
      <c r="B5" s="69" t="s">
        <v>7</v>
      </c>
      <c r="C5" s="69"/>
      <c r="D5" s="70"/>
      <c r="E5" s="70"/>
      <c r="F5" s="43"/>
      <c r="G5" s="43"/>
      <c r="H5" s="43"/>
      <c r="I5" s="43"/>
      <c r="J5" s="45"/>
      <c r="K5" s="45"/>
      <c r="L5" s="45"/>
      <c r="M5" s="45"/>
      <c r="N5" s="45"/>
      <c r="O5" s="45"/>
      <c r="P5" s="45"/>
      <c r="Q5" s="45"/>
      <c r="R5" s="45"/>
    </row>
    <row r="6" spans="1:18" x14ac:dyDescent="0.3">
      <c r="A6" s="18" t="s">
        <v>8</v>
      </c>
      <c r="B6" s="71" t="s">
        <v>7</v>
      </c>
      <c r="C6" s="71"/>
      <c r="D6" s="72"/>
      <c r="E6" s="72"/>
      <c r="F6" s="35"/>
      <c r="G6" s="35"/>
      <c r="H6" s="35"/>
      <c r="I6" s="35"/>
      <c r="J6" s="53"/>
      <c r="K6" s="53"/>
      <c r="L6" s="53"/>
      <c r="M6" s="53"/>
      <c r="N6" s="53"/>
      <c r="O6" s="53"/>
      <c r="P6" s="53"/>
      <c r="Q6" s="53"/>
      <c r="R6" s="53"/>
    </row>
    <row r="7" spans="1:18" x14ac:dyDescent="0.3">
      <c r="A7" s="13" t="s">
        <v>9</v>
      </c>
      <c r="B7" s="69" t="s">
        <v>7</v>
      </c>
      <c r="C7" s="69"/>
      <c r="D7" s="70"/>
      <c r="E7" s="70"/>
      <c r="F7" s="43"/>
      <c r="G7" s="43"/>
      <c r="H7" s="43"/>
      <c r="I7" s="43"/>
      <c r="J7" s="45"/>
      <c r="K7" s="45"/>
      <c r="L7" s="45"/>
      <c r="M7" s="45"/>
      <c r="N7" s="45"/>
      <c r="O7" s="45"/>
      <c r="P7" s="45"/>
      <c r="Q7" s="45"/>
      <c r="R7" s="45"/>
    </row>
    <row r="8" spans="1:18" x14ac:dyDescent="0.3">
      <c r="A8" s="18" t="s">
        <v>10</v>
      </c>
      <c r="B8" s="71" t="s">
        <v>7</v>
      </c>
      <c r="C8" s="71"/>
      <c r="D8" s="72"/>
      <c r="E8" s="72"/>
      <c r="F8" s="35"/>
      <c r="G8" s="35"/>
      <c r="H8" s="35"/>
      <c r="I8" s="35"/>
      <c r="J8" s="53"/>
      <c r="K8" s="53"/>
      <c r="L8" s="53"/>
      <c r="M8" s="53"/>
      <c r="N8" s="53"/>
      <c r="O8" s="53"/>
      <c r="P8" s="53"/>
      <c r="Q8" s="53"/>
      <c r="R8" s="53"/>
    </row>
    <row r="9" spans="1:18" x14ac:dyDescent="0.3">
      <c r="A9" s="13" t="s">
        <v>11</v>
      </c>
      <c r="B9" s="69" t="s">
        <v>7</v>
      </c>
      <c r="C9" s="69"/>
      <c r="D9" s="70"/>
      <c r="E9" s="70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3">
      <c r="A10" s="26" t="s">
        <v>12</v>
      </c>
      <c r="B10" s="73" t="s">
        <v>7</v>
      </c>
      <c r="C10" s="73"/>
      <c r="D10" s="74"/>
      <c r="E10" s="74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outlineLevel="1" x14ac:dyDescent="0.3">
      <c r="A11" s="34" t="s">
        <v>13</v>
      </c>
      <c r="B11" s="71" t="s">
        <v>14</v>
      </c>
      <c r="C11" s="71" t="s">
        <v>15</v>
      </c>
      <c r="D11" s="72">
        <v>5102110</v>
      </c>
      <c r="E11" s="72" t="s">
        <v>16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outlineLevel="1" x14ac:dyDescent="0.3">
      <c r="A12" s="34" t="s">
        <v>17</v>
      </c>
      <c r="B12" s="71" t="s">
        <v>18</v>
      </c>
      <c r="C12" s="71" t="s">
        <v>15</v>
      </c>
      <c r="D12" s="72">
        <v>5102120</v>
      </c>
      <c r="E12" s="72" t="s">
        <v>19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x14ac:dyDescent="0.3">
      <c r="A13" s="26" t="s">
        <v>20</v>
      </c>
      <c r="B13" s="73" t="s">
        <v>7</v>
      </c>
      <c r="C13" s="73"/>
      <c r="D13" s="74" t="s">
        <v>21</v>
      </c>
      <c r="E13" s="7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outlineLevel="1" x14ac:dyDescent="0.3">
      <c r="A14" s="40" t="s">
        <v>22</v>
      </c>
      <c r="B14" s="71" t="s">
        <v>14</v>
      </c>
      <c r="C14" s="71" t="s">
        <v>15</v>
      </c>
      <c r="D14" s="72">
        <v>5102210</v>
      </c>
      <c r="E14" s="72" t="s">
        <v>16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outlineLevel="1" x14ac:dyDescent="0.3">
      <c r="A15" s="34" t="s">
        <v>23</v>
      </c>
      <c r="B15" s="71" t="s">
        <v>18</v>
      </c>
      <c r="C15" s="71" t="s">
        <v>15</v>
      </c>
      <c r="D15" s="72">
        <v>5102220</v>
      </c>
      <c r="E15" s="72" t="s">
        <v>19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outlineLevel="1" x14ac:dyDescent="0.3">
      <c r="A16" s="34" t="s">
        <v>24</v>
      </c>
      <c r="B16" s="71" t="s">
        <v>14</v>
      </c>
      <c r="C16" s="71" t="s">
        <v>15</v>
      </c>
      <c r="D16" s="72">
        <v>5102230</v>
      </c>
      <c r="E16" s="72" t="s">
        <v>16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outlineLevel="1" x14ac:dyDescent="0.3">
      <c r="A17" s="34" t="s">
        <v>25</v>
      </c>
      <c r="B17" s="71" t="s">
        <v>26</v>
      </c>
      <c r="C17" s="71" t="s">
        <v>27</v>
      </c>
      <c r="D17" s="72">
        <v>5102240</v>
      </c>
      <c r="E17" s="72" t="s">
        <v>28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outlineLevel="1" x14ac:dyDescent="0.3">
      <c r="A18" s="34" t="s">
        <v>29</v>
      </c>
      <c r="B18" s="71" t="s">
        <v>14</v>
      </c>
      <c r="C18" s="71" t="s">
        <v>15</v>
      </c>
      <c r="D18" s="72">
        <v>5102250</v>
      </c>
      <c r="E18" s="72" t="s">
        <v>16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outlineLevel="1" x14ac:dyDescent="0.3">
      <c r="A19" s="34" t="s">
        <v>30</v>
      </c>
      <c r="B19" s="71" t="s">
        <v>26</v>
      </c>
      <c r="C19" s="71" t="s">
        <v>15</v>
      </c>
      <c r="D19" s="72">
        <v>5102260</v>
      </c>
      <c r="E19" s="72" t="s">
        <v>28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18" outlineLevel="1" x14ac:dyDescent="0.3">
      <c r="A20" s="34" t="s">
        <v>31</v>
      </c>
      <c r="B20" s="71" t="s">
        <v>14</v>
      </c>
      <c r="C20" s="71" t="s">
        <v>15</v>
      </c>
      <c r="D20" s="72">
        <v>5102280</v>
      </c>
      <c r="E20" s="72" t="s">
        <v>16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outlineLevel="1" x14ac:dyDescent="0.3">
      <c r="A21" s="34" t="s">
        <v>32</v>
      </c>
      <c r="B21" s="71" t="s">
        <v>26</v>
      </c>
      <c r="C21" s="71" t="s">
        <v>15</v>
      </c>
      <c r="D21" s="72">
        <v>5102290</v>
      </c>
      <c r="E21" s="72" t="s">
        <v>28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18" x14ac:dyDescent="0.3">
      <c r="A22" s="26" t="s">
        <v>33</v>
      </c>
      <c r="B22" s="73" t="s">
        <v>7</v>
      </c>
      <c r="C22" s="73"/>
      <c r="D22" s="74" t="s">
        <v>21</v>
      </c>
      <c r="E22" s="7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outlineLevel="1" x14ac:dyDescent="0.3">
      <c r="A23" s="34" t="s">
        <v>34</v>
      </c>
      <c r="B23" s="71" t="s">
        <v>18</v>
      </c>
      <c r="C23" s="71" t="s">
        <v>15</v>
      </c>
      <c r="D23" s="72">
        <v>5102410</v>
      </c>
      <c r="E23" s="72" t="s">
        <v>19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outlineLevel="1" x14ac:dyDescent="0.3">
      <c r="A24" s="34" t="s">
        <v>35</v>
      </c>
      <c r="B24" s="75" t="s">
        <v>7</v>
      </c>
      <c r="C24" s="75" t="s">
        <v>15</v>
      </c>
      <c r="D24" s="72">
        <v>5102420</v>
      </c>
      <c r="E24" s="72" t="s">
        <v>28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outlineLevel="1" x14ac:dyDescent="0.3">
      <c r="A25" s="34" t="s">
        <v>36</v>
      </c>
      <c r="B25" s="75"/>
      <c r="C25" s="75" t="s">
        <v>37</v>
      </c>
      <c r="D25" s="72" t="s">
        <v>38</v>
      </c>
      <c r="E25" s="72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18" x14ac:dyDescent="0.3">
      <c r="A26" s="13" t="s">
        <v>39</v>
      </c>
      <c r="B26" s="69" t="s">
        <v>7</v>
      </c>
      <c r="C26" s="69"/>
      <c r="D26" s="70"/>
      <c r="E26" s="70"/>
      <c r="F26" s="43">
        <f t="shared" ref="F26:R26" si="0">F27+F46+F52+F60+F68+F79+F88+F100+F107+F115+F118+F128+F130+F138+F140+F146+F149+F158+F163+F168+F173</f>
        <v>46874000</v>
      </c>
      <c r="G26" s="43">
        <f t="shared" si="0"/>
        <v>3839499.3333333335</v>
      </c>
      <c r="H26" s="43">
        <f t="shared" si="0"/>
        <v>3839500.3333333335</v>
      </c>
      <c r="I26" s="43">
        <f t="shared" si="0"/>
        <v>4039500.3333333335</v>
      </c>
      <c r="J26" s="43">
        <f t="shared" si="0"/>
        <v>3839499.3333333335</v>
      </c>
      <c r="K26" s="43">
        <f t="shared" si="0"/>
        <v>3839500.3333333335</v>
      </c>
      <c r="L26" s="43">
        <f t="shared" si="0"/>
        <v>4039500.3333333335</v>
      </c>
      <c r="M26" s="43">
        <f t="shared" si="0"/>
        <v>3839499.3333333335</v>
      </c>
      <c r="N26" s="43">
        <f t="shared" si="0"/>
        <v>3839500.3333333335</v>
      </c>
      <c r="O26" s="43">
        <f t="shared" si="0"/>
        <v>4039500.3333333335</v>
      </c>
      <c r="P26" s="43">
        <f t="shared" si="0"/>
        <v>3839499.3333333335</v>
      </c>
      <c r="Q26" s="43">
        <f t="shared" si="0"/>
        <v>3839500.3333333335</v>
      </c>
      <c r="R26" s="43">
        <f t="shared" si="0"/>
        <v>4039500.3333333335</v>
      </c>
    </row>
    <row r="27" spans="1:18" x14ac:dyDescent="0.3">
      <c r="A27" s="26" t="s">
        <v>40</v>
      </c>
      <c r="B27" s="73" t="s">
        <v>7</v>
      </c>
      <c r="C27" s="73"/>
      <c r="D27" s="74"/>
      <c r="E27" s="74"/>
      <c r="F27" s="29">
        <f t="shared" ref="F27:R27" si="1">SUM(F28:F45)</f>
        <v>20874000</v>
      </c>
      <c r="G27" s="29">
        <f t="shared" si="1"/>
        <v>1739500</v>
      </c>
      <c r="H27" s="29">
        <f t="shared" si="1"/>
        <v>1739500</v>
      </c>
      <c r="I27" s="29">
        <f t="shared" si="1"/>
        <v>1739500</v>
      </c>
      <c r="J27" s="29">
        <f t="shared" si="1"/>
        <v>1739500</v>
      </c>
      <c r="K27" s="29">
        <f t="shared" si="1"/>
        <v>1739500</v>
      </c>
      <c r="L27" s="29">
        <f t="shared" si="1"/>
        <v>1739500</v>
      </c>
      <c r="M27" s="29">
        <f t="shared" si="1"/>
        <v>1739500</v>
      </c>
      <c r="N27" s="29">
        <f t="shared" si="1"/>
        <v>1739500</v>
      </c>
      <c r="O27" s="29">
        <f t="shared" si="1"/>
        <v>1739500</v>
      </c>
      <c r="P27" s="29">
        <f t="shared" si="1"/>
        <v>1739500</v>
      </c>
      <c r="Q27" s="29">
        <f t="shared" si="1"/>
        <v>1739500</v>
      </c>
      <c r="R27" s="29">
        <f t="shared" si="1"/>
        <v>1739500</v>
      </c>
    </row>
    <row r="28" spans="1:18" outlineLevel="1" x14ac:dyDescent="0.3">
      <c r="A28" s="34" t="s">
        <v>41</v>
      </c>
      <c r="B28" s="71" t="s">
        <v>42</v>
      </c>
      <c r="C28" s="71" t="s">
        <v>15</v>
      </c>
      <c r="D28" s="72">
        <v>5103260</v>
      </c>
      <c r="E28" s="72" t="s">
        <v>43</v>
      </c>
      <c r="F28" s="35">
        <f t="shared" ref="F28:F45" si="2">SUM(G28:R28)</f>
        <v>0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 spans="1:18" outlineLevel="1" x14ac:dyDescent="0.3">
      <c r="A29" s="34" t="s">
        <v>44</v>
      </c>
      <c r="B29" s="71" t="s">
        <v>45</v>
      </c>
      <c r="C29" s="71" t="s">
        <v>15</v>
      </c>
      <c r="D29" s="72">
        <v>5103250</v>
      </c>
      <c r="E29" s="72" t="s">
        <v>46</v>
      </c>
      <c r="F29" s="35">
        <f t="shared" si="2"/>
        <v>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 outlineLevel="1" x14ac:dyDescent="0.3">
      <c r="A30" s="34" t="s">
        <v>47</v>
      </c>
      <c r="B30" s="71" t="s">
        <v>48</v>
      </c>
      <c r="C30" s="71" t="s">
        <v>15</v>
      </c>
      <c r="D30" s="72">
        <v>5103240</v>
      </c>
      <c r="E30" s="72" t="s">
        <v>49</v>
      </c>
      <c r="F30" s="35">
        <f t="shared" si="2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 spans="1:18" outlineLevel="1" x14ac:dyDescent="0.3">
      <c r="A31" s="34" t="s">
        <v>50</v>
      </c>
      <c r="B31" s="71" t="s">
        <v>51</v>
      </c>
      <c r="C31" s="71" t="s">
        <v>15</v>
      </c>
      <c r="D31" s="72">
        <v>5103230</v>
      </c>
      <c r="E31" s="72" t="s">
        <v>52</v>
      </c>
      <c r="F31" s="35">
        <f t="shared" si="2"/>
        <v>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 outlineLevel="1" x14ac:dyDescent="0.3">
      <c r="A32" s="34" t="s">
        <v>53</v>
      </c>
      <c r="B32" s="71" t="s">
        <v>54</v>
      </c>
      <c r="C32" s="71" t="s">
        <v>15</v>
      </c>
      <c r="D32" s="72">
        <v>5103220</v>
      </c>
      <c r="E32" s="72" t="s">
        <v>55</v>
      </c>
      <c r="F32" s="35">
        <f t="shared" si="2"/>
        <v>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1:18" outlineLevel="1" x14ac:dyDescent="0.3">
      <c r="A33" s="34" t="s">
        <v>56</v>
      </c>
      <c r="B33" s="71" t="s">
        <v>56</v>
      </c>
      <c r="C33" s="71" t="s">
        <v>15</v>
      </c>
      <c r="D33" s="72">
        <v>5103210</v>
      </c>
      <c r="E33" s="72" t="s">
        <v>57</v>
      </c>
      <c r="F33" s="35">
        <f t="shared" si="2"/>
        <v>2160000</v>
      </c>
      <c r="G33" s="35">
        <v>180000</v>
      </c>
      <c r="H33" s="35">
        <v>180000</v>
      </c>
      <c r="I33" s="35">
        <v>180000</v>
      </c>
      <c r="J33" s="35">
        <v>180000</v>
      </c>
      <c r="K33" s="35">
        <v>180000</v>
      </c>
      <c r="L33" s="35">
        <v>180000</v>
      </c>
      <c r="M33" s="35">
        <v>180000</v>
      </c>
      <c r="N33" s="35">
        <v>180000</v>
      </c>
      <c r="O33" s="35">
        <v>180000</v>
      </c>
      <c r="P33" s="35">
        <v>180000</v>
      </c>
      <c r="Q33" s="35">
        <v>180000</v>
      </c>
      <c r="R33" s="35">
        <v>180000</v>
      </c>
    </row>
    <row r="34" spans="1:18" outlineLevel="1" x14ac:dyDescent="0.3">
      <c r="A34" s="34" t="s">
        <v>58</v>
      </c>
      <c r="B34" s="71" t="s">
        <v>59</v>
      </c>
      <c r="C34" s="71" t="s">
        <v>15</v>
      </c>
      <c r="D34" s="72">
        <v>5103190</v>
      </c>
      <c r="E34" s="72" t="s">
        <v>60</v>
      </c>
      <c r="F34" s="35">
        <f t="shared" si="2"/>
        <v>234000</v>
      </c>
      <c r="G34" s="35">
        <v>19500</v>
      </c>
      <c r="H34" s="35">
        <v>19500</v>
      </c>
      <c r="I34" s="35">
        <v>19500</v>
      </c>
      <c r="J34" s="35">
        <v>19500</v>
      </c>
      <c r="K34" s="35">
        <v>19500</v>
      </c>
      <c r="L34" s="35">
        <v>19500</v>
      </c>
      <c r="M34" s="35">
        <v>19500</v>
      </c>
      <c r="N34" s="35">
        <v>19500</v>
      </c>
      <c r="O34" s="35">
        <v>19500</v>
      </c>
      <c r="P34" s="35">
        <v>19500</v>
      </c>
      <c r="Q34" s="35">
        <v>19500</v>
      </c>
      <c r="R34" s="35">
        <v>19500</v>
      </c>
    </row>
    <row r="35" spans="1:18" outlineLevel="1" x14ac:dyDescent="0.3">
      <c r="A35" s="34" t="s">
        <v>61</v>
      </c>
      <c r="B35" s="71" t="s">
        <v>62</v>
      </c>
      <c r="C35" s="71" t="s">
        <v>15</v>
      </c>
      <c r="D35" s="72">
        <v>5103180</v>
      </c>
      <c r="E35" s="72" t="s">
        <v>63</v>
      </c>
      <c r="F35" s="35">
        <f t="shared" si="2"/>
        <v>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spans="1:18" outlineLevel="1" x14ac:dyDescent="0.3">
      <c r="A36" s="34" t="s">
        <v>64</v>
      </c>
      <c r="B36" s="71" t="s">
        <v>65</v>
      </c>
      <c r="C36" s="71" t="s">
        <v>15</v>
      </c>
      <c r="D36" s="72">
        <v>5103170</v>
      </c>
      <c r="E36" s="72" t="s">
        <v>66</v>
      </c>
      <c r="F36" s="35">
        <f t="shared" si="2"/>
        <v>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8" outlineLevel="1" x14ac:dyDescent="0.3">
      <c r="A37" s="34" t="s">
        <v>67</v>
      </c>
      <c r="B37" s="71" t="s">
        <v>68</v>
      </c>
      <c r="C37" s="71" t="s">
        <v>15</v>
      </c>
      <c r="D37" s="72">
        <v>5103160</v>
      </c>
      <c r="E37" s="72" t="s">
        <v>69</v>
      </c>
      <c r="F37" s="35">
        <f t="shared" si="2"/>
        <v>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 outlineLevel="1" x14ac:dyDescent="0.3">
      <c r="A38" s="34" t="s">
        <v>70</v>
      </c>
      <c r="B38" s="71" t="s">
        <v>71</v>
      </c>
      <c r="C38" s="71" t="s">
        <v>15</v>
      </c>
      <c r="D38" s="72">
        <v>5103150</v>
      </c>
      <c r="E38" s="72" t="s">
        <v>72</v>
      </c>
      <c r="F38" s="35">
        <f t="shared" si="2"/>
        <v>0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 outlineLevel="1" x14ac:dyDescent="0.3">
      <c r="A39" s="34" t="s">
        <v>73</v>
      </c>
      <c r="B39" s="71" t="s">
        <v>74</v>
      </c>
      <c r="C39" s="71" t="s">
        <v>15</v>
      </c>
      <c r="D39" s="72">
        <v>5103140</v>
      </c>
      <c r="E39" s="72" t="s">
        <v>75</v>
      </c>
      <c r="F39" s="35">
        <f t="shared" si="2"/>
        <v>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1:18" outlineLevel="1" x14ac:dyDescent="0.3">
      <c r="A40" s="34" t="s">
        <v>76</v>
      </c>
      <c r="B40" s="71" t="s">
        <v>7</v>
      </c>
      <c r="C40" s="71" t="s">
        <v>15</v>
      </c>
      <c r="D40" s="72">
        <v>5103130</v>
      </c>
      <c r="E40" s="72" t="s">
        <v>77</v>
      </c>
      <c r="F40" s="35">
        <f t="shared" si="2"/>
        <v>0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 outlineLevel="1" x14ac:dyDescent="0.3">
      <c r="A41" s="34" t="s">
        <v>78</v>
      </c>
      <c r="B41" s="71" t="s">
        <v>79</v>
      </c>
      <c r="C41" s="71" t="s">
        <v>15</v>
      </c>
      <c r="D41" s="72">
        <v>5103120</v>
      </c>
      <c r="E41" s="72" t="s">
        <v>80</v>
      </c>
      <c r="F41" s="35">
        <f t="shared" si="2"/>
        <v>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1:18" outlineLevel="1" x14ac:dyDescent="0.3">
      <c r="A42" s="34" t="s">
        <v>81</v>
      </c>
      <c r="B42" s="71" t="s">
        <v>82</v>
      </c>
      <c r="C42" s="71" t="s">
        <v>15</v>
      </c>
      <c r="D42" s="72">
        <v>5103110</v>
      </c>
      <c r="E42" s="72" t="s">
        <v>83</v>
      </c>
      <c r="F42" s="35">
        <f t="shared" si="2"/>
        <v>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18" outlineLevel="1" x14ac:dyDescent="0.3">
      <c r="A43" s="34" t="s">
        <v>84</v>
      </c>
      <c r="B43" s="71" t="s">
        <v>59</v>
      </c>
      <c r="C43" s="71" t="s">
        <v>15</v>
      </c>
      <c r="D43" s="72">
        <v>5103270</v>
      </c>
      <c r="E43" s="72" t="s">
        <v>60</v>
      </c>
      <c r="F43" s="35">
        <f t="shared" si="2"/>
        <v>15600000</v>
      </c>
      <c r="G43" s="35">
        <v>1300000</v>
      </c>
      <c r="H43" s="35">
        <v>1300000</v>
      </c>
      <c r="I43" s="35">
        <v>1300000</v>
      </c>
      <c r="J43" s="35">
        <v>1300000</v>
      </c>
      <c r="K43" s="35">
        <v>1300000</v>
      </c>
      <c r="L43" s="35">
        <v>1300000</v>
      </c>
      <c r="M43" s="35">
        <v>1300000</v>
      </c>
      <c r="N43" s="35">
        <v>1300000</v>
      </c>
      <c r="O43" s="35">
        <v>1300000</v>
      </c>
      <c r="P43" s="35">
        <v>1300000</v>
      </c>
      <c r="Q43" s="35">
        <v>1300000</v>
      </c>
      <c r="R43" s="35">
        <v>1300000</v>
      </c>
    </row>
    <row r="44" spans="1:18" outlineLevel="1" x14ac:dyDescent="0.3">
      <c r="A44" s="34" t="s">
        <v>85</v>
      </c>
      <c r="B44" s="71" t="s">
        <v>85</v>
      </c>
      <c r="C44" s="71" t="s">
        <v>27</v>
      </c>
      <c r="D44" s="72">
        <v>5103111</v>
      </c>
      <c r="E44" s="72" t="s">
        <v>86</v>
      </c>
      <c r="F44" s="35">
        <f t="shared" si="2"/>
        <v>0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</row>
    <row r="45" spans="1:18" outlineLevel="1" x14ac:dyDescent="0.3">
      <c r="A45" s="34" t="s">
        <v>87</v>
      </c>
      <c r="B45" s="71" t="s">
        <v>87</v>
      </c>
      <c r="C45" s="71" t="s">
        <v>15</v>
      </c>
      <c r="D45" s="72">
        <v>5103131</v>
      </c>
      <c r="E45" s="72" t="s">
        <v>88</v>
      </c>
      <c r="F45" s="35">
        <f t="shared" si="2"/>
        <v>2880000</v>
      </c>
      <c r="G45" s="35">
        <v>240000</v>
      </c>
      <c r="H45" s="35">
        <v>240000</v>
      </c>
      <c r="I45" s="35">
        <v>240000</v>
      </c>
      <c r="J45" s="35">
        <v>240000</v>
      </c>
      <c r="K45" s="35">
        <v>240000</v>
      </c>
      <c r="L45" s="35">
        <v>240000</v>
      </c>
      <c r="M45" s="35">
        <v>240000</v>
      </c>
      <c r="N45" s="35">
        <v>240000</v>
      </c>
      <c r="O45" s="35">
        <v>240000</v>
      </c>
      <c r="P45" s="35">
        <v>240000</v>
      </c>
      <c r="Q45" s="35">
        <v>240000</v>
      </c>
      <c r="R45" s="35">
        <v>240000</v>
      </c>
    </row>
    <row r="46" spans="1:18" x14ac:dyDescent="0.3">
      <c r="A46" s="26" t="s">
        <v>89</v>
      </c>
      <c r="B46" s="73" t="s">
        <v>7</v>
      </c>
      <c r="C46" s="73"/>
      <c r="D46" s="74"/>
      <c r="E46" s="74"/>
      <c r="F46" s="29">
        <f t="shared" ref="F46:R46" si="3">SUM(F47:F51)</f>
        <v>800000</v>
      </c>
      <c r="G46" s="29">
        <f t="shared" si="3"/>
        <v>0</v>
      </c>
      <c r="H46" s="29">
        <f t="shared" si="3"/>
        <v>0</v>
      </c>
      <c r="I46" s="29">
        <f t="shared" si="3"/>
        <v>200000</v>
      </c>
      <c r="J46" s="29">
        <f t="shared" si="3"/>
        <v>0</v>
      </c>
      <c r="K46" s="29">
        <f t="shared" si="3"/>
        <v>0</v>
      </c>
      <c r="L46" s="29">
        <f t="shared" si="3"/>
        <v>200000</v>
      </c>
      <c r="M46" s="29">
        <f t="shared" si="3"/>
        <v>0</v>
      </c>
      <c r="N46" s="29">
        <f t="shared" si="3"/>
        <v>0</v>
      </c>
      <c r="O46" s="29">
        <f t="shared" si="3"/>
        <v>200000</v>
      </c>
      <c r="P46" s="29">
        <f t="shared" si="3"/>
        <v>0</v>
      </c>
      <c r="Q46" s="29">
        <f t="shared" si="3"/>
        <v>0</v>
      </c>
      <c r="R46" s="29">
        <f t="shared" si="3"/>
        <v>200000</v>
      </c>
    </row>
    <row r="47" spans="1:18" outlineLevel="1" x14ac:dyDescent="0.3">
      <c r="A47" s="34" t="s">
        <v>90</v>
      </c>
      <c r="B47" s="71" t="s">
        <v>91</v>
      </c>
      <c r="C47" s="71" t="s">
        <v>15</v>
      </c>
      <c r="D47" s="72">
        <v>5104110</v>
      </c>
      <c r="E47" s="72" t="s">
        <v>92</v>
      </c>
      <c r="F47" s="35">
        <f>SUM(G47:R47)</f>
        <v>0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1:18" outlineLevel="1" x14ac:dyDescent="0.3">
      <c r="A48" s="34" t="s">
        <v>93</v>
      </c>
      <c r="B48" s="71" t="s">
        <v>94</v>
      </c>
      <c r="C48" s="71" t="s">
        <v>15</v>
      </c>
      <c r="D48" s="72">
        <v>5104120</v>
      </c>
      <c r="E48" s="72" t="s">
        <v>95</v>
      </c>
      <c r="F48" s="35">
        <f>SUM(G48:R48)</f>
        <v>400000</v>
      </c>
      <c r="G48" s="35">
        <v>0</v>
      </c>
      <c r="H48" s="35">
        <v>0</v>
      </c>
      <c r="I48" s="35">
        <v>100000</v>
      </c>
      <c r="J48" s="35">
        <v>0</v>
      </c>
      <c r="K48" s="35">
        <v>0</v>
      </c>
      <c r="L48" s="35">
        <v>100000</v>
      </c>
      <c r="M48" s="35">
        <v>0</v>
      </c>
      <c r="N48" s="35">
        <v>0</v>
      </c>
      <c r="O48" s="35">
        <v>100000</v>
      </c>
      <c r="P48" s="35">
        <v>0</v>
      </c>
      <c r="Q48" s="35">
        <v>0</v>
      </c>
      <c r="R48" s="35">
        <v>100000</v>
      </c>
    </row>
    <row r="49" spans="1:18" outlineLevel="1" x14ac:dyDescent="0.3">
      <c r="A49" s="34" t="s">
        <v>96</v>
      </c>
      <c r="B49" s="71" t="s">
        <v>97</v>
      </c>
      <c r="C49" s="71" t="s">
        <v>15</v>
      </c>
      <c r="D49" s="72">
        <v>5104130</v>
      </c>
      <c r="E49" s="72" t="s">
        <v>98</v>
      </c>
      <c r="F49" s="35">
        <f>SUM(G49:R49)</f>
        <v>400000</v>
      </c>
      <c r="G49" s="35">
        <v>0</v>
      </c>
      <c r="H49" s="35">
        <v>0</v>
      </c>
      <c r="I49" s="35">
        <v>100000</v>
      </c>
      <c r="J49" s="35">
        <v>0</v>
      </c>
      <c r="K49" s="35">
        <v>0</v>
      </c>
      <c r="L49" s="35">
        <v>100000</v>
      </c>
      <c r="M49" s="35">
        <v>0</v>
      </c>
      <c r="N49" s="35">
        <v>0</v>
      </c>
      <c r="O49" s="35">
        <v>100000</v>
      </c>
      <c r="P49" s="35">
        <v>0</v>
      </c>
      <c r="Q49" s="35">
        <v>0</v>
      </c>
      <c r="R49" s="35">
        <v>100000</v>
      </c>
    </row>
    <row r="50" spans="1:18" outlineLevel="1" x14ac:dyDescent="0.3">
      <c r="A50" s="34" t="s">
        <v>99</v>
      </c>
      <c r="B50" s="71" t="s">
        <v>100</v>
      </c>
      <c r="C50" s="71" t="s">
        <v>15</v>
      </c>
      <c r="D50" s="72">
        <v>5104140</v>
      </c>
      <c r="E50" s="72" t="s">
        <v>101</v>
      </c>
      <c r="F50" s="35">
        <f>SUM(G50:R50)</f>
        <v>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 outlineLevel="1" x14ac:dyDescent="0.3">
      <c r="A51" s="34" t="s">
        <v>102</v>
      </c>
      <c r="B51" s="71" t="s">
        <v>102</v>
      </c>
      <c r="C51" s="71" t="s">
        <v>15</v>
      </c>
      <c r="D51" s="72">
        <v>5104150</v>
      </c>
      <c r="E51" s="72" t="s">
        <v>103</v>
      </c>
      <c r="F51" s="35">
        <f>SUM(G51:R51)</f>
        <v>0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 spans="1:18" x14ac:dyDescent="0.3">
      <c r="A52" s="26" t="s">
        <v>104</v>
      </c>
      <c r="B52" s="73" t="s">
        <v>7</v>
      </c>
      <c r="C52" s="73"/>
      <c r="D52" s="74"/>
      <c r="E52" s="74"/>
      <c r="F52" s="29">
        <f t="shared" ref="F52:R52" si="4">SUM(F53:F59)</f>
        <v>1200000</v>
      </c>
      <c r="G52" s="29">
        <f t="shared" si="4"/>
        <v>100000</v>
      </c>
      <c r="H52" s="29">
        <f t="shared" si="4"/>
        <v>100000</v>
      </c>
      <c r="I52" s="29">
        <f t="shared" si="4"/>
        <v>100000</v>
      </c>
      <c r="J52" s="29">
        <f t="shared" si="4"/>
        <v>100000</v>
      </c>
      <c r="K52" s="29">
        <f t="shared" si="4"/>
        <v>100000</v>
      </c>
      <c r="L52" s="29">
        <f t="shared" si="4"/>
        <v>100000</v>
      </c>
      <c r="M52" s="29">
        <f t="shared" si="4"/>
        <v>100000</v>
      </c>
      <c r="N52" s="29">
        <f t="shared" si="4"/>
        <v>100000</v>
      </c>
      <c r="O52" s="29">
        <f t="shared" si="4"/>
        <v>100000</v>
      </c>
      <c r="P52" s="29">
        <f t="shared" si="4"/>
        <v>100000</v>
      </c>
      <c r="Q52" s="29">
        <f t="shared" si="4"/>
        <v>100000</v>
      </c>
      <c r="R52" s="29">
        <f t="shared" si="4"/>
        <v>100000</v>
      </c>
    </row>
    <row r="53" spans="1:18" outlineLevel="1" x14ac:dyDescent="0.3">
      <c r="A53" s="34" t="s">
        <v>105</v>
      </c>
      <c r="B53" s="71" t="s">
        <v>106</v>
      </c>
      <c r="C53" s="71" t="s">
        <v>15</v>
      </c>
      <c r="D53" s="72">
        <v>5105160</v>
      </c>
      <c r="E53" s="72" t="s">
        <v>107</v>
      </c>
      <c r="F53" s="35">
        <f t="shared" ref="F53:F59" si="5">SUM(G53:R53)</f>
        <v>0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 spans="1:18" outlineLevel="1" x14ac:dyDescent="0.3">
      <c r="A54" s="34" t="s">
        <v>108</v>
      </c>
      <c r="B54" s="71" t="s">
        <v>106</v>
      </c>
      <c r="C54" s="71" t="s">
        <v>15</v>
      </c>
      <c r="D54" s="72">
        <v>5105150</v>
      </c>
      <c r="E54" s="72" t="s">
        <v>107</v>
      </c>
      <c r="F54" s="35">
        <f t="shared" si="5"/>
        <v>0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</row>
    <row r="55" spans="1:18" outlineLevel="1" x14ac:dyDescent="0.3">
      <c r="A55" s="34" t="s">
        <v>109</v>
      </c>
      <c r="B55" s="71" t="s">
        <v>110</v>
      </c>
      <c r="C55" s="71" t="s">
        <v>15</v>
      </c>
      <c r="D55" s="72">
        <v>5105140</v>
      </c>
      <c r="E55" s="72" t="s">
        <v>111</v>
      </c>
      <c r="F55" s="35">
        <f t="shared" si="5"/>
        <v>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</row>
    <row r="56" spans="1:18" outlineLevel="1" x14ac:dyDescent="0.3">
      <c r="A56" s="34" t="s">
        <v>112</v>
      </c>
      <c r="B56" s="71" t="s">
        <v>106</v>
      </c>
      <c r="C56" s="71" t="s">
        <v>15</v>
      </c>
      <c r="D56" s="72">
        <v>5105130</v>
      </c>
      <c r="E56" s="72" t="s">
        <v>107</v>
      </c>
      <c r="F56" s="35">
        <f t="shared" si="5"/>
        <v>0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 outlineLevel="1" x14ac:dyDescent="0.3">
      <c r="A57" s="34" t="s">
        <v>113</v>
      </c>
      <c r="B57" s="71" t="s">
        <v>106</v>
      </c>
      <c r="C57" s="71" t="s">
        <v>15</v>
      </c>
      <c r="D57" s="72">
        <v>5105120</v>
      </c>
      <c r="E57" s="72" t="s">
        <v>107</v>
      </c>
      <c r="F57" s="35">
        <f t="shared" si="5"/>
        <v>0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</row>
    <row r="58" spans="1:18" outlineLevel="1" x14ac:dyDescent="0.3">
      <c r="A58" s="34" t="s">
        <v>114</v>
      </c>
      <c r="B58" s="71" t="s">
        <v>106</v>
      </c>
      <c r="C58" s="71" t="s">
        <v>15</v>
      </c>
      <c r="D58" s="72">
        <v>5105110</v>
      </c>
      <c r="E58" s="72" t="s">
        <v>107</v>
      </c>
      <c r="F58" s="35">
        <f t="shared" si="5"/>
        <v>0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</row>
    <row r="59" spans="1:18" outlineLevel="1" x14ac:dyDescent="0.3">
      <c r="A59" s="34" t="s">
        <v>115</v>
      </c>
      <c r="B59" s="71" t="s">
        <v>106</v>
      </c>
      <c r="C59" s="71" t="s">
        <v>15</v>
      </c>
      <c r="D59" s="72">
        <v>5105111</v>
      </c>
      <c r="E59" s="72" t="s">
        <v>107</v>
      </c>
      <c r="F59" s="35">
        <f t="shared" si="5"/>
        <v>1200000</v>
      </c>
      <c r="G59" s="35">
        <v>100000</v>
      </c>
      <c r="H59" s="35">
        <v>100000</v>
      </c>
      <c r="I59" s="35">
        <v>100000</v>
      </c>
      <c r="J59" s="35">
        <v>100000</v>
      </c>
      <c r="K59" s="35">
        <v>100000</v>
      </c>
      <c r="L59" s="35">
        <v>100000</v>
      </c>
      <c r="M59" s="35">
        <v>100000</v>
      </c>
      <c r="N59" s="35">
        <v>100000</v>
      </c>
      <c r="O59" s="35">
        <v>100000</v>
      </c>
      <c r="P59" s="35">
        <v>100000</v>
      </c>
      <c r="Q59" s="35">
        <v>100000</v>
      </c>
      <c r="R59" s="35">
        <v>100000</v>
      </c>
    </row>
    <row r="60" spans="1:18" x14ac:dyDescent="0.3">
      <c r="A60" s="26" t="s">
        <v>116</v>
      </c>
      <c r="B60" s="73" t="s">
        <v>7</v>
      </c>
      <c r="C60" s="73"/>
      <c r="D60" s="74"/>
      <c r="E60" s="74"/>
      <c r="F60" s="29">
        <f t="shared" ref="F60:R60" si="6">SUM(F61:F67)</f>
        <v>0</v>
      </c>
      <c r="G60" s="29">
        <f t="shared" si="6"/>
        <v>0</v>
      </c>
      <c r="H60" s="29">
        <f t="shared" si="6"/>
        <v>0</v>
      </c>
      <c r="I60" s="29">
        <f t="shared" si="6"/>
        <v>0</v>
      </c>
      <c r="J60" s="29">
        <f t="shared" si="6"/>
        <v>0</v>
      </c>
      <c r="K60" s="29">
        <f t="shared" si="6"/>
        <v>0</v>
      </c>
      <c r="L60" s="29">
        <f t="shared" si="6"/>
        <v>0</v>
      </c>
      <c r="M60" s="29">
        <f t="shared" si="6"/>
        <v>0</v>
      </c>
      <c r="N60" s="29">
        <f t="shared" si="6"/>
        <v>0</v>
      </c>
      <c r="O60" s="29">
        <f t="shared" si="6"/>
        <v>0</v>
      </c>
      <c r="P60" s="29">
        <f t="shared" si="6"/>
        <v>0</v>
      </c>
      <c r="Q60" s="29">
        <f t="shared" si="6"/>
        <v>0</v>
      </c>
      <c r="R60" s="29">
        <f t="shared" si="6"/>
        <v>0</v>
      </c>
    </row>
    <row r="61" spans="1:18" outlineLevel="1" x14ac:dyDescent="0.3">
      <c r="A61" s="34" t="s">
        <v>117</v>
      </c>
      <c r="B61" s="71" t="s">
        <v>118</v>
      </c>
      <c r="C61" s="71" t="s">
        <v>27</v>
      </c>
      <c r="D61" s="72">
        <v>5106110</v>
      </c>
      <c r="E61" s="72" t="s">
        <v>119</v>
      </c>
      <c r="F61" s="35">
        <f t="shared" ref="F61:F67" si="7">SUM(G61:R61)</f>
        <v>0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</row>
    <row r="62" spans="1:18" outlineLevel="1" x14ac:dyDescent="0.3">
      <c r="A62" s="34" t="s">
        <v>120</v>
      </c>
      <c r="B62" s="71" t="s">
        <v>118</v>
      </c>
      <c r="C62" s="71" t="s">
        <v>15</v>
      </c>
      <c r="D62" s="72">
        <v>5106120</v>
      </c>
      <c r="E62" s="72" t="s">
        <v>119</v>
      </c>
      <c r="F62" s="35">
        <f t="shared" si="7"/>
        <v>0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8" outlineLevel="1" x14ac:dyDescent="0.3">
      <c r="A63" s="34" t="s">
        <v>121</v>
      </c>
      <c r="B63" s="71" t="s">
        <v>118</v>
      </c>
      <c r="C63" s="71" t="s">
        <v>27</v>
      </c>
      <c r="D63" s="72">
        <v>5106130</v>
      </c>
      <c r="E63" s="72" t="s">
        <v>119</v>
      </c>
      <c r="F63" s="35">
        <f t="shared" si="7"/>
        <v>0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</row>
    <row r="64" spans="1:18" outlineLevel="1" x14ac:dyDescent="0.3">
      <c r="A64" s="34" t="s">
        <v>122</v>
      </c>
      <c r="B64" s="71" t="s">
        <v>7</v>
      </c>
      <c r="C64" s="71" t="s">
        <v>27</v>
      </c>
      <c r="D64" s="72">
        <v>5106140</v>
      </c>
      <c r="E64" s="72" t="s">
        <v>119</v>
      </c>
      <c r="F64" s="35">
        <f t="shared" si="7"/>
        <v>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1:18" outlineLevel="1" x14ac:dyDescent="0.3">
      <c r="A65" s="34" t="s">
        <v>123</v>
      </c>
      <c r="B65" s="71" t="s">
        <v>118</v>
      </c>
      <c r="C65" s="71" t="s">
        <v>15</v>
      </c>
      <c r="D65" s="72">
        <v>5106150</v>
      </c>
      <c r="E65" s="72" t="s">
        <v>119</v>
      </c>
      <c r="F65" s="35">
        <f t="shared" si="7"/>
        <v>0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1:18" outlineLevel="1" x14ac:dyDescent="0.3">
      <c r="A66" s="34" t="s">
        <v>124</v>
      </c>
      <c r="B66" s="71" t="s">
        <v>7</v>
      </c>
      <c r="C66" s="71" t="s">
        <v>27</v>
      </c>
      <c r="D66" s="72">
        <v>5106160</v>
      </c>
      <c r="E66" s="72" t="s">
        <v>119</v>
      </c>
      <c r="F66" s="35">
        <f t="shared" si="7"/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1:18" outlineLevel="1" x14ac:dyDescent="0.3">
      <c r="A67" s="34" t="s">
        <v>125</v>
      </c>
      <c r="B67" s="71" t="s">
        <v>118</v>
      </c>
      <c r="C67" s="71" t="s">
        <v>15</v>
      </c>
      <c r="D67" s="72">
        <v>5106141</v>
      </c>
      <c r="E67" s="72" t="s">
        <v>119</v>
      </c>
      <c r="F67" s="35">
        <f t="shared" si="7"/>
        <v>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</row>
    <row r="68" spans="1:18" x14ac:dyDescent="0.3">
      <c r="A68" s="26" t="s">
        <v>126</v>
      </c>
      <c r="B68" s="73" t="s">
        <v>7</v>
      </c>
      <c r="C68" s="73"/>
      <c r="D68" s="74"/>
      <c r="E68" s="74"/>
      <c r="F68" s="29">
        <f t="shared" ref="F68:R68" si="8">SUM(F69:F78)</f>
        <v>0</v>
      </c>
      <c r="G68" s="29">
        <f t="shared" si="8"/>
        <v>0</v>
      </c>
      <c r="H68" s="29">
        <f t="shared" si="8"/>
        <v>0</v>
      </c>
      <c r="I68" s="29">
        <f t="shared" si="8"/>
        <v>0</v>
      </c>
      <c r="J68" s="29">
        <f t="shared" si="8"/>
        <v>0</v>
      </c>
      <c r="K68" s="29">
        <f t="shared" si="8"/>
        <v>0</v>
      </c>
      <c r="L68" s="29">
        <f t="shared" si="8"/>
        <v>0</v>
      </c>
      <c r="M68" s="29">
        <f t="shared" si="8"/>
        <v>0</v>
      </c>
      <c r="N68" s="29">
        <f t="shared" si="8"/>
        <v>0</v>
      </c>
      <c r="O68" s="29">
        <f t="shared" si="8"/>
        <v>0</v>
      </c>
      <c r="P68" s="29">
        <f t="shared" si="8"/>
        <v>0</v>
      </c>
      <c r="Q68" s="29">
        <f t="shared" si="8"/>
        <v>0</v>
      </c>
      <c r="R68" s="29">
        <f t="shared" si="8"/>
        <v>0</v>
      </c>
    </row>
    <row r="69" spans="1:18" outlineLevel="1" x14ac:dyDescent="0.3">
      <c r="A69" s="34" t="s">
        <v>127</v>
      </c>
      <c r="B69" s="71" t="s">
        <v>128</v>
      </c>
      <c r="C69" s="71" t="s">
        <v>15</v>
      </c>
      <c r="D69" s="72">
        <v>5107110</v>
      </c>
      <c r="E69" s="72" t="s">
        <v>129</v>
      </c>
      <c r="F69" s="35">
        <f t="shared" ref="F69:F78" si="9">SUM(G69:R69)</f>
        <v>0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 outlineLevel="1" x14ac:dyDescent="0.3">
      <c r="A70" s="34" t="s">
        <v>130</v>
      </c>
      <c r="B70" s="71" t="s">
        <v>128</v>
      </c>
      <c r="C70" s="71" t="s">
        <v>15</v>
      </c>
      <c r="D70" s="72">
        <v>5107130</v>
      </c>
      <c r="E70" s="72" t="s">
        <v>129</v>
      </c>
      <c r="F70" s="35">
        <f t="shared" si="9"/>
        <v>0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1:18" outlineLevel="1" x14ac:dyDescent="0.3">
      <c r="A71" s="40" t="s">
        <v>131</v>
      </c>
      <c r="B71" s="71" t="s">
        <v>128</v>
      </c>
      <c r="C71" s="71" t="s">
        <v>15</v>
      </c>
      <c r="D71" s="72">
        <v>5107120</v>
      </c>
      <c r="E71" s="72" t="s">
        <v>129</v>
      </c>
      <c r="F71" s="35">
        <f t="shared" si="9"/>
        <v>0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  <row r="72" spans="1:18" outlineLevel="1" x14ac:dyDescent="0.3">
      <c r="A72" s="34" t="s">
        <v>132</v>
      </c>
      <c r="B72" s="71" t="s">
        <v>128</v>
      </c>
      <c r="C72" s="71" t="s">
        <v>15</v>
      </c>
      <c r="D72" s="72">
        <v>5107140</v>
      </c>
      <c r="E72" s="72" t="s">
        <v>129</v>
      </c>
      <c r="F72" s="35">
        <f t="shared" si="9"/>
        <v>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</row>
    <row r="73" spans="1:18" outlineLevel="1" x14ac:dyDescent="0.3">
      <c r="A73" s="34" t="s">
        <v>133</v>
      </c>
      <c r="B73" s="71" t="s">
        <v>128</v>
      </c>
      <c r="C73" s="71" t="s">
        <v>15</v>
      </c>
      <c r="D73" s="72">
        <v>5107150</v>
      </c>
      <c r="E73" s="72" t="s">
        <v>129</v>
      </c>
      <c r="F73" s="35">
        <f t="shared" si="9"/>
        <v>0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 outlineLevel="1" x14ac:dyDescent="0.3">
      <c r="A74" s="34" t="s">
        <v>134</v>
      </c>
      <c r="B74" s="71" t="s">
        <v>128</v>
      </c>
      <c r="C74" s="71" t="s">
        <v>15</v>
      </c>
      <c r="D74" s="72">
        <v>5107160</v>
      </c>
      <c r="E74" s="72" t="s">
        <v>129</v>
      </c>
      <c r="F74" s="35">
        <f t="shared" si="9"/>
        <v>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</row>
    <row r="75" spans="1:18" outlineLevel="1" x14ac:dyDescent="0.3">
      <c r="A75" s="34" t="s">
        <v>135</v>
      </c>
      <c r="B75" s="71" t="s">
        <v>128</v>
      </c>
      <c r="C75" s="71" t="s">
        <v>15</v>
      </c>
      <c r="D75" s="72">
        <v>5107170</v>
      </c>
      <c r="E75" s="72" t="s">
        <v>129</v>
      </c>
      <c r="F75" s="35">
        <f t="shared" si="9"/>
        <v>0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 outlineLevel="1" x14ac:dyDescent="0.3">
      <c r="A76" s="34" t="s">
        <v>136</v>
      </c>
      <c r="B76" s="71" t="s">
        <v>128</v>
      </c>
      <c r="C76" s="71" t="s">
        <v>15</v>
      </c>
      <c r="D76" s="72">
        <v>5107180</v>
      </c>
      <c r="E76" s="72" t="s">
        <v>129</v>
      </c>
      <c r="F76" s="35">
        <f t="shared" si="9"/>
        <v>0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 outlineLevel="1" x14ac:dyDescent="0.3">
      <c r="A77" s="64" t="s">
        <v>137</v>
      </c>
      <c r="B77" s="71" t="s">
        <v>138</v>
      </c>
      <c r="C77" s="71" t="s">
        <v>15</v>
      </c>
      <c r="D77" s="72">
        <v>5107190</v>
      </c>
      <c r="E77" s="72" t="s">
        <v>129</v>
      </c>
      <c r="F77" s="35">
        <f t="shared" si="9"/>
        <v>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 outlineLevel="1" x14ac:dyDescent="0.3">
      <c r="A78" s="34" t="s">
        <v>139</v>
      </c>
      <c r="B78" s="71" t="s">
        <v>140</v>
      </c>
      <c r="C78" s="71" t="s">
        <v>15</v>
      </c>
      <c r="D78" s="72">
        <v>5107210</v>
      </c>
      <c r="E78" s="72" t="s">
        <v>141</v>
      </c>
      <c r="F78" s="35">
        <f t="shared" si="9"/>
        <v>0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 x14ac:dyDescent="0.3">
      <c r="A79" s="26" t="s">
        <v>142</v>
      </c>
      <c r="B79" s="73" t="s">
        <v>7</v>
      </c>
      <c r="C79" s="73"/>
      <c r="D79" s="74"/>
      <c r="E79" s="74"/>
      <c r="F79" s="29">
        <f t="shared" ref="F79:R79" si="10">SUM(F80:F87)</f>
        <v>9600000</v>
      </c>
      <c r="G79" s="29">
        <f t="shared" si="10"/>
        <v>800000</v>
      </c>
      <c r="H79" s="29">
        <f t="shared" si="10"/>
        <v>800000</v>
      </c>
      <c r="I79" s="29">
        <f t="shared" si="10"/>
        <v>800000</v>
      </c>
      <c r="J79" s="29">
        <f t="shared" si="10"/>
        <v>800000</v>
      </c>
      <c r="K79" s="29">
        <f t="shared" si="10"/>
        <v>800000</v>
      </c>
      <c r="L79" s="29">
        <f t="shared" si="10"/>
        <v>800000</v>
      </c>
      <c r="M79" s="29">
        <f t="shared" si="10"/>
        <v>800000</v>
      </c>
      <c r="N79" s="29">
        <f t="shared" si="10"/>
        <v>800000</v>
      </c>
      <c r="O79" s="29">
        <f t="shared" si="10"/>
        <v>800000</v>
      </c>
      <c r="P79" s="29">
        <f t="shared" si="10"/>
        <v>800000</v>
      </c>
      <c r="Q79" s="29">
        <f t="shared" si="10"/>
        <v>800000</v>
      </c>
      <c r="R79" s="29">
        <f t="shared" si="10"/>
        <v>800000</v>
      </c>
    </row>
    <row r="80" spans="1:18" outlineLevel="1" x14ac:dyDescent="0.3">
      <c r="A80" s="34" t="s">
        <v>143</v>
      </c>
      <c r="B80" s="71" t="s">
        <v>144</v>
      </c>
      <c r="C80" s="71" t="s">
        <v>15</v>
      </c>
      <c r="D80" s="72">
        <v>5108110</v>
      </c>
      <c r="E80" s="72" t="s">
        <v>145</v>
      </c>
      <c r="F80" s="35">
        <f t="shared" ref="F80:F87" si="11">SUM(G80:R80)</f>
        <v>0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</row>
    <row r="81" spans="1:18" outlineLevel="1" x14ac:dyDescent="0.3">
      <c r="A81" s="34" t="s">
        <v>146</v>
      </c>
      <c r="B81" s="71" t="s">
        <v>144</v>
      </c>
      <c r="C81" s="71" t="s">
        <v>15</v>
      </c>
      <c r="D81" s="72">
        <v>5108120</v>
      </c>
      <c r="E81" s="72" t="s">
        <v>145</v>
      </c>
      <c r="F81" s="35">
        <f t="shared" si="11"/>
        <v>0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 outlineLevel="1" x14ac:dyDescent="0.3">
      <c r="A82" s="34" t="s">
        <v>147</v>
      </c>
      <c r="B82" s="71" t="s">
        <v>144</v>
      </c>
      <c r="C82" s="71" t="s">
        <v>15</v>
      </c>
      <c r="D82" s="72">
        <v>5108130</v>
      </c>
      <c r="E82" s="72" t="s">
        <v>145</v>
      </c>
      <c r="F82" s="35">
        <f t="shared" si="11"/>
        <v>0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 outlineLevel="1" x14ac:dyDescent="0.3">
      <c r="A83" s="34" t="s">
        <v>148</v>
      </c>
      <c r="B83" s="71" t="s">
        <v>144</v>
      </c>
      <c r="C83" s="71" t="s">
        <v>15</v>
      </c>
      <c r="D83" s="72">
        <v>5108140</v>
      </c>
      <c r="E83" s="72" t="s">
        <v>145</v>
      </c>
      <c r="F83" s="35">
        <f t="shared" si="11"/>
        <v>0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 outlineLevel="1" x14ac:dyDescent="0.3">
      <c r="A84" s="34" t="s">
        <v>149</v>
      </c>
      <c r="B84" s="71" t="s">
        <v>150</v>
      </c>
      <c r="C84" s="71" t="s">
        <v>15</v>
      </c>
      <c r="D84" s="72">
        <v>5108150</v>
      </c>
      <c r="E84" s="72" t="s">
        <v>151</v>
      </c>
      <c r="F84" s="35">
        <f t="shared" si="11"/>
        <v>0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 outlineLevel="1" x14ac:dyDescent="0.3">
      <c r="A85" s="34" t="s">
        <v>152</v>
      </c>
      <c r="B85" s="71" t="s">
        <v>144</v>
      </c>
      <c r="C85" s="71" t="s">
        <v>15</v>
      </c>
      <c r="D85" s="72">
        <v>5108160</v>
      </c>
      <c r="E85" s="72" t="s">
        <v>145</v>
      </c>
      <c r="F85" s="35">
        <f t="shared" si="11"/>
        <v>0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 outlineLevel="1" x14ac:dyDescent="0.3">
      <c r="A86" s="34" t="s">
        <v>153</v>
      </c>
      <c r="B86" s="71" t="s">
        <v>153</v>
      </c>
      <c r="C86" s="71" t="s">
        <v>15</v>
      </c>
      <c r="D86" s="72">
        <v>5108161</v>
      </c>
      <c r="E86" s="72" t="s">
        <v>154</v>
      </c>
      <c r="F86" s="35">
        <f t="shared" si="11"/>
        <v>9600000</v>
      </c>
      <c r="G86" s="35">
        <v>800000</v>
      </c>
      <c r="H86" s="35">
        <v>800000</v>
      </c>
      <c r="I86" s="35">
        <v>800000</v>
      </c>
      <c r="J86" s="35">
        <v>800000</v>
      </c>
      <c r="K86" s="35">
        <v>800000</v>
      </c>
      <c r="L86" s="35">
        <v>800000</v>
      </c>
      <c r="M86" s="35">
        <v>800000</v>
      </c>
      <c r="N86" s="35">
        <v>800000</v>
      </c>
      <c r="O86" s="35">
        <v>800000</v>
      </c>
      <c r="P86" s="35">
        <v>800000</v>
      </c>
      <c r="Q86" s="35">
        <v>800000</v>
      </c>
      <c r="R86" s="35">
        <v>800000</v>
      </c>
    </row>
    <row r="87" spans="1:18" outlineLevel="1" x14ac:dyDescent="0.3">
      <c r="A87" s="34" t="s">
        <v>155</v>
      </c>
      <c r="B87" s="71" t="s">
        <v>155</v>
      </c>
      <c r="C87" s="71" t="s">
        <v>15</v>
      </c>
      <c r="D87" s="72">
        <v>5108162</v>
      </c>
      <c r="E87" s="72" t="s">
        <v>156</v>
      </c>
      <c r="F87" s="35">
        <f t="shared" si="11"/>
        <v>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 x14ac:dyDescent="0.3">
      <c r="A88" s="26" t="s">
        <v>157</v>
      </c>
      <c r="B88" s="73" t="s">
        <v>7</v>
      </c>
      <c r="C88" s="73"/>
      <c r="D88" s="74"/>
      <c r="E88" s="74"/>
      <c r="F88" s="29">
        <f t="shared" ref="F88:R88" si="12">SUM(F89:F99)</f>
        <v>0</v>
      </c>
      <c r="G88" s="29">
        <f t="shared" si="12"/>
        <v>0</v>
      </c>
      <c r="H88" s="29">
        <f t="shared" si="12"/>
        <v>0</v>
      </c>
      <c r="I88" s="29">
        <f t="shared" si="12"/>
        <v>0</v>
      </c>
      <c r="J88" s="29">
        <f t="shared" si="12"/>
        <v>0</v>
      </c>
      <c r="K88" s="29">
        <f t="shared" si="12"/>
        <v>0</v>
      </c>
      <c r="L88" s="29">
        <f t="shared" si="12"/>
        <v>0</v>
      </c>
      <c r="M88" s="29">
        <f t="shared" si="12"/>
        <v>0</v>
      </c>
      <c r="N88" s="29">
        <f t="shared" si="12"/>
        <v>0</v>
      </c>
      <c r="O88" s="29">
        <f t="shared" si="12"/>
        <v>0</v>
      </c>
      <c r="P88" s="29">
        <f t="shared" si="12"/>
        <v>0</v>
      </c>
      <c r="Q88" s="29">
        <f t="shared" si="12"/>
        <v>0</v>
      </c>
      <c r="R88" s="29">
        <f t="shared" si="12"/>
        <v>0</v>
      </c>
    </row>
    <row r="89" spans="1:18" outlineLevel="1" x14ac:dyDescent="0.3">
      <c r="A89" s="34" t="s">
        <v>158</v>
      </c>
      <c r="B89" s="71" t="s">
        <v>159</v>
      </c>
      <c r="C89" s="71" t="s">
        <v>15</v>
      </c>
      <c r="D89" s="72">
        <v>5109110</v>
      </c>
      <c r="E89" s="72" t="s">
        <v>160</v>
      </c>
      <c r="F89" s="35">
        <f t="shared" ref="F89:F99" si="13">SUM(G89:R89)</f>
        <v>0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</row>
    <row r="90" spans="1:18" outlineLevel="1" x14ac:dyDescent="0.3">
      <c r="A90" s="34" t="s">
        <v>161</v>
      </c>
      <c r="B90" s="71" t="s">
        <v>159</v>
      </c>
      <c r="C90" s="71" t="s">
        <v>15</v>
      </c>
      <c r="D90" s="72">
        <v>5109120</v>
      </c>
      <c r="E90" s="72" t="s">
        <v>160</v>
      </c>
      <c r="F90" s="35">
        <f t="shared" si="13"/>
        <v>0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 outlineLevel="1" x14ac:dyDescent="0.3">
      <c r="A91" s="34" t="s">
        <v>162</v>
      </c>
      <c r="B91" s="71" t="s">
        <v>159</v>
      </c>
      <c r="C91" s="71" t="s">
        <v>15</v>
      </c>
      <c r="D91" s="72">
        <v>5109130</v>
      </c>
      <c r="E91" s="72" t="s">
        <v>160</v>
      </c>
      <c r="F91" s="35">
        <f t="shared" si="13"/>
        <v>0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</row>
    <row r="92" spans="1:18" outlineLevel="1" x14ac:dyDescent="0.3">
      <c r="A92" s="40" t="s">
        <v>163</v>
      </c>
      <c r="B92" s="71" t="s">
        <v>159</v>
      </c>
      <c r="C92" s="71" t="s">
        <v>15</v>
      </c>
      <c r="D92" s="72">
        <v>5109140</v>
      </c>
      <c r="E92" s="72" t="s">
        <v>160</v>
      </c>
      <c r="F92" s="35">
        <f t="shared" si="13"/>
        <v>0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</row>
    <row r="93" spans="1:18" outlineLevel="1" x14ac:dyDescent="0.3">
      <c r="A93" s="34" t="s">
        <v>164</v>
      </c>
      <c r="B93" s="71" t="s">
        <v>159</v>
      </c>
      <c r="C93" s="71" t="s">
        <v>15</v>
      </c>
      <c r="D93" s="72">
        <v>5109150</v>
      </c>
      <c r="E93" s="72" t="s">
        <v>160</v>
      </c>
      <c r="F93" s="35">
        <f t="shared" si="13"/>
        <v>0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1:18" outlineLevel="1" x14ac:dyDescent="0.3">
      <c r="A94" s="34" t="s">
        <v>165</v>
      </c>
      <c r="B94" s="71" t="s">
        <v>159</v>
      </c>
      <c r="C94" s="71" t="s">
        <v>15</v>
      </c>
      <c r="D94" s="72">
        <v>5109160</v>
      </c>
      <c r="E94" s="72" t="s">
        <v>160</v>
      </c>
      <c r="F94" s="35">
        <f t="shared" si="13"/>
        <v>0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 outlineLevel="1" x14ac:dyDescent="0.3">
      <c r="A95" s="34" t="s">
        <v>166</v>
      </c>
      <c r="B95" s="71" t="s">
        <v>159</v>
      </c>
      <c r="C95" s="71" t="s">
        <v>15</v>
      </c>
      <c r="D95" s="72">
        <v>5109170</v>
      </c>
      <c r="E95" s="72" t="s">
        <v>160</v>
      </c>
      <c r="F95" s="35">
        <f t="shared" si="13"/>
        <v>0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</row>
    <row r="96" spans="1:18" outlineLevel="1" x14ac:dyDescent="0.3">
      <c r="A96" s="34" t="s">
        <v>167</v>
      </c>
      <c r="B96" s="71" t="s">
        <v>159</v>
      </c>
      <c r="C96" s="71" t="s">
        <v>15</v>
      </c>
      <c r="D96" s="72">
        <v>5109180</v>
      </c>
      <c r="E96" s="72" t="s">
        <v>160</v>
      </c>
      <c r="F96" s="35">
        <f t="shared" si="13"/>
        <v>0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 outlineLevel="1" x14ac:dyDescent="0.3">
      <c r="A97" s="34" t="s">
        <v>168</v>
      </c>
      <c r="B97" s="71" t="s">
        <v>159</v>
      </c>
      <c r="C97" s="71" t="s">
        <v>15</v>
      </c>
      <c r="D97" s="72">
        <v>5109190</v>
      </c>
      <c r="E97" s="72" t="s">
        <v>160</v>
      </c>
      <c r="F97" s="35">
        <f t="shared" si="13"/>
        <v>0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 outlineLevel="1" x14ac:dyDescent="0.3">
      <c r="A98" s="34" t="s">
        <v>169</v>
      </c>
      <c r="B98" s="71" t="s">
        <v>159</v>
      </c>
      <c r="C98" s="71" t="s">
        <v>15</v>
      </c>
      <c r="D98" s="72">
        <v>5109210</v>
      </c>
      <c r="E98" s="72" t="s">
        <v>160</v>
      </c>
      <c r="F98" s="35">
        <f t="shared" si="13"/>
        <v>0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 outlineLevel="1" x14ac:dyDescent="0.3">
      <c r="A99" s="34" t="s">
        <v>170</v>
      </c>
      <c r="B99" s="71" t="s">
        <v>159</v>
      </c>
      <c r="C99" s="71" t="s">
        <v>15</v>
      </c>
      <c r="D99" s="72">
        <v>5109220</v>
      </c>
      <c r="E99" s="72" t="s">
        <v>160</v>
      </c>
      <c r="F99" s="35">
        <f t="shared" si="13"/>
        <v>0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 x14ac:dyDescent="0.3">
      <c r="A100" s="26" t="s">
        <v>171</v>
      </c>
      <c r="B100" s="73" t="s">
        <v>7</v>
      </c>
      <c r="C100" s="73"/>
      <c r="D100" s="74"/>
      <c r="E100" s="74"/>
      <c r="F100" s="29">
        <f t="shared" ref="F100:R100" si="14">SUM(F101:F106)</f>
        <v>399999.99999999983</v>
      </c>
      <c r="G100" s="29">
        <f t="shared" si="14"/>
        <v>33333.333333333328</v>
      </c>
      <c r="H100" s="29">
        <f t="shared" si="14"/>
        <v>33333.333333333328</v>
      </c>
      <c r="I100" s="29">
        <f t="shared" si="14"/>
        <v>33333.333333333328</v>
      </c>
      <c r="J100" s="29">
        <f t="shared" si="14"/>
        <v>33333.333333333328</v>
      </c>
      <c r="K100" s="29">
        <f t="shared" si="14"/>
        <v>33333.333333333328</v>
      </c>
      <c r="L100" s="29">
        <f t="shared" si="14"/>
        <v>33333.333333333328</v>
      </c>
      <c r="M100" s="29">
        <f t="shared" si="14"/>
        <v>33333.333333333328</v>
      </c>
      <c r="N100" s="29">
        <f t="shared" si="14"/>
        <v>33333.333333333328</v>
      </c>
      <c r="O100" s="29">
        <f t="shared" si="14"/>
        <v>33333.333333333328</v>
      </c>
      <c r="P100" s="29">
        <f t="shared" si="14"/>
        <v>33333.333333333328</v>
      </c>
      <c r="Q100" s="29">
        <f t="shared" si="14"/>
        <v>33333.333333333328</v>
      </c>
      <c r="R100" s="29">
        <f t="shared" si="14"/>
        <v>33333.333333333328</v>
      </c>
    </row>
    <row r="101" spans="1:18" outlineLevel="1" x14ac:dyDescent="0.3">
      <c r="A101" s="34" t="s">
        <v>172</v>
      </c>
      <c r="B101" s="71" t="s">
        <v>173</v>
      </c>
      <c r="C101" s="71" t="s">
        <v>15</v>
      </c>
      <c r="D101" s="72">
        <v>5110110</v>
      </c>
      <c r="E101" s="72" t="s">
        <v>174</v>
      </c>
      <c r="F101" s="35">
        <f t="shared" ref="F101:F106" si="15">SUM(G101:R101)</f>
        <v>0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</row>
    <row r="102" spans="1:18" outlineLevel="1" x14ac:dyDescent="0.3">
      <c r="A102" s="34" t="s">
        <v>175</v>
      </c>
      <c r="B102" s="71" t="s">
        <v>173</v>
      </c>
      <c r="C102" s="71" t="s">
        <v>15</v>
      </c>
      <c r="D102" s="72">
        <v>5110120</v>
      </c>
      <c r="E102" s="72" t="s">
        <v>174</v>
      </c>
      <c r="F102" s="35">
        <f t="shared" si="15"/>
        <v>0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 outlineLevel="1" x14ac:dyDescent="0.3">
      <c r="A103" s="34" t="s">
        <v>176</v>
      </c>
      <c r="B103" s="71" t="s">
        <v>173</v>
      </c>
      <c r="C103" s="71" t="s">
        <v>27</v>
      </c>
      <c r="D103" s="72">
        <v>5110130</v>
      </c>
      <c r="E103" s="72" t="s">
        <v>174</v>
      </c>
      <c r="F103" s="35">
        <f t="shared" si="15"/>
        <v>0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</row>
    <row r="104" spans="1:18" outlineLevel="1" x14ac:dyDescent="0.3">
      <c r="A104" s="34" t="s">
        <v>177</v>
      </c>
      <c r="B104" s="71" t="s">
        <v>173</v>
      </c>
      <c r="C104" s="71" t="s">
        <v>27</v>
      </c>
      <c r="D104" s="72">
        <v>5110140</v>
      </c>
      <c r="E104" s="72" t="s">
        <v>174</v>
      </c>
      <c r="F104" s="35">
        <f t="shared" si="15"/>
        <v>0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 outlineLevel="1" x14ac:dyDescent="0.3">
      <c r="A105" s="34" t="s">
        <v>178</v>
      </c>
      <c r="B105" s="71" t="s">
        <v>179</v>
      </c>
      <c r="C105" s="71" t="s">
        <v>15</v>
      </c>
      <c r="D105" s="72">
        <v>5110150</v>
      </c>
      <c r="E105" s="72" t="s">
        <v>180</v>
      </c>
      <c r="F105" s="35">
        <f t="shared" si="15"/>
        <v>399999.99999999983</v>
      </c>
      <c r="G105" s="52">
        <v>33333.333333333328</v>
      </c>
      <c r="H105" s="52">
        <v>33333.333333333328</v>
      </c>
      <c r="I105" s="52">
        <v>33333.333333333328</v>
      </c>
      <c r="J105" s="52">
        <v>33333.333333333328</v>
      </c>
      <c r="K105" s="52">
        <v>33333.333333333328</v>
      </c>
      <c r="L105" s="52">
        <v>33333.333333333328</v>
      </c>
      <c r="M105" s="52">
        <v>33333.333333333328</v>
      </c>
      <c r="N105" s="52">
        <v>33333.333333333328</v>
      </c>
      <c r="O105" s="52">
        <v>33333.333333333328</v>
      </c>
      <c r="P105" s="52">
        <v>33333.333333333328</v>
      </c>
      <c r="Q105" s="52">
        <v>33333.333333333328</v>
      </c>
      <c r="R105" s="52">
        <v>33333.333333333328</v>
      </c>
    </row>
    <row r="106" spans="1:18" outlineLevel="1" x14ac:dyDescent="0.3">
      <c r="A106" s="34" t="s">
        <v>181</v>
      </c>
      <c r="B106" s="71" t="s">
        <v>179</v>
      </c>
      <c r="C106" s="71" t="s">
        <v>15</v>
      </c>
      <c r="D106" s="72" t="s">
        <v>182</v>
      </c>
      <c r="E106" s="72"/>
      <c r="F106" s="35">
        <f t="shared" si="15"/>
        <v>0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 x14ac:dyDescent="0.3">
      <c r="A107" s="26" t="s">
        <v>183</v>
      </c>
      <c r="B107" s="73" t="s">
        <v>7</v>
      </c>
      <c r="C107" s="73"/>
      <c r="D107" s="74"/>
      <c r="E107" s="74"/>
      <c r="F107" s="29">
        <f t="shared" ref="F107:R107" si="16">SUM(F108:F114)</f>
        <v>0</v>
      </c>
      <c r="G107" s="29">
        <f t="shared" si="16"/>
        <v>0</v>
      </c>
      <c r="H107" s="29">
        <f t="shared" si="16"/>
        <v>0</v>
      </c>
      <c r="I107" s="29">
        <f t="shared" si="16"/>
        <v>0</v>
      </c>
      <c r="J107" s="29">
        <f t="shared" si="16"/>
        <v>0</v>
      </c>
      <c r="K107" s="29">
        <f t="shared" si="16"/>
        <v>0</v>
      </c>
      <c r="L107" s="29">
        <f t="shared" si="16"/>
        <v>0</v>
      </c>
      <c r="M107" s="29">
        <f t="shared" si="16"/>
        <v>0</v>
      </c>
      <c r="N107" s="29">
        <f t="shared" si="16"/>
        <v>0</v>
      </c>
      <c r="O107" s="29">
        <f t="shared" si="16"/>
        <v>0</v>
      </c>
      <c r="P107" s="29">
        <f t="shared" si="16"/>
        <v>0</v>
      </c>
      <c r="Q107" s="29">
        <f t="shared" si="16"/>
        <v>0</v>
      </c>
      <c r="R107" s="29">
        <f t="shared" si="16"/>
        <v>0</v>
      </c>
    </row>
    <row r="108" spans="1:18" outlineLevel="1" x14ac:dyDescent="0.3">
      <c r="A108" s="34" t="s">
        <v>184</v>
      </c>
      <c r="B108" s="71" t="s">
        <v>185</v>
      </c>
      <c r="C108" s="71" t="s">
        <v>15</v>
      </c>
      <c r="D108" s="72">
        <v>5111110</v>
      </c>
      <c r="E108" s="72" t="s">
        <v>186</v>
      </c>
      <c r="F108" s="35">
        <f t="shared" ref="F108:F114" si="17">SUM(G108:R108)</f>
        <v>0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</row>
    <row r="109" spans="1:18" outlineLevel="1" x14ac:dyDescent="0.3">
      <c r="A109" s="34" t="s">
        <v>187</v>
      </c>
      <c r="B109" s="71" t="s">
        <v>185</v>
      </c>
      <c r="C109" s="71" t="s">
        <v>15</v>
      </c>
      <c r="D109" s="72">
        <v>5111120</v>
      </c>
      <c r="E109" s="72" t="s">
        <v>186</v>
      </c>
      <c r="F109" s="35">
        <f t="shared" si="17"/>
        <v>0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</row>
    <row r="110" spans="1:18" outlineLevel="1" x14ac:dyDescent="0.3">
      <c r="A110" s="34" t="s">
        <v>188</v>
      </c>
      <c r="B110" s="71" t="s">
        <v>185</v>
      </c>
      <c r="C110" s="71" t="s">
        <v>15</v>
      </c>
      <c r="D110" s="72">
        <v>5111130</v>
      </c>
      <c r="E110" s="72" t="s">
        <v>186</v>
      </c>
      <c r="F110" s="35">
        <f t="shared" si="17"/>
        <v>0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</row>
    <row r="111" spans="1:18" outlineLevel="1" x14ac:dyDescent="0.3">
      <c r="A111" s="34" t="s">
        <v>189</v>
      </c>
      <c r="B111" s="71" t="s">
        <v>185</v>
      </c>
      <c r="C111" s="71" t="s">
        <v>15</v>
      </c>
      <c r="D111" s="72">
        <v>5111140</v>
      </c>
      <c r="E111" s="72" t="s">
        <v>186</v>
      </c>
      <c r="F111" s="35">
        <f t="shared" si="17"/>
        <v>0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 outlineLevel="1" x14ac:dyDescent="0.3">
      <c r="A112" s="34" t="s">
        <v>190</v>
      </c>
      <c r="B112" s="71" t="s">
        <v>185</v>
      </c>
      <c r="C112" s="71" t="s">
        <v>15</v>
      </c>
      <c r="D112" s="72">
        <v>5111150</v>
      </c>
      <c r="E112" s="72" t="s">
        <v>186</v>
      </c>
      <c r="F112" s="35">
        <f t="shared" si="17"/>
        <v>0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 outlineLevel="1" x14ac:dyDescent="0.3">
      <c r="A113" s="34" t="s">
        <v>191</v>
      </c>
      <c r="B113" s="71" t="s">
        <v>185</v>
      </c>
      <c r="C113" s="71" t="s">
        <v>15</v>
      </c>
      <c r="D113" s="72">
        <v>5111160</v>
      </c>
      <c r="E113" s="72" t="s">
        <v>186</v>
      </c>
      <c r="F113" s="35">
        <f t="shared" si="17"/>
        <v>0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 outlineLevel="1" x14ac:dyDescent="0.3">
      <c r="A114" s="34" t="s">
        <v>192</v>
      </c>
      <c r="B114" s="71" t="s">
        <v>185</v>
      </c>
      <c r="C114" s="71" t="s">
        <v>15</v>
      </c>
      <c r="D114" s="72">
        <v>5111141</v>
      </c>
      <c r="E114" s="72" t="s">
        <v>186</v>
      </c>
      <c r="F114" s="35">
        <f t="shared" si="17"/>
        <v>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 x14ac:dyDescent="0.3">
      <c r="A115" s="26" t="s">
        <v>193</v>
      </c>
      <c r="B115" s="73" t="s">
        <v>7</v>
      </c>
      <c r="C115" s="73"/>
      <c r="D115" s="74"/>
      <c r="E115" s="74"/>
      <c r="F115" s="29">
        <f t="shared" ref="F115:R115" si="18">SUM(F116:F117)</f>
        <v>0</v>
      </c>
      <c r="G115" s="29">
        <f t="shared" si="18"/>
        <v>0</v>
      </c>
      <c r="H115" s="29">
        <f t="shared" si="18"/>
        <v>0</v>
      </c>
      <c r="I115" s="29">
        <f t="shared" si="18"/>
        <v>0</v>
      </c>
      <c r="J115" s="29">
        <f t="shared" si="18"/>
        <v>0</v>
      </c>
      <c r="K115" s="29">
        <f t="shared" si="18"/>
        <v>0</v>
      </c>
      <c r="L115" s="29">
        <f t="shared" si="18"/>
        <v>0</v>
      </c>
      <c r="M115" s="29">
        <f t="shared" si="18"/>
        <v>0</v>
      </c>
      <c r="N115" s="29">
        <f t="shared" si="18"/>
        <v>0</v>
      </c>
      <c r="O115" s="29">
        <f t="shared" si="18"/>
        <v>0</v>
      </c>
      <c r="P115" s="29">
        <f t="shared" si="18"/>
        <v>0</v>
      </c>
      <c r="Q115" s="29">
        <f t="shared" si="18"/>
        <v>0</v>
      </c>
      <c r="R115" s="29">
        <f t="shared" si="18"/>
        <v>0</v>
      </c>
    </row>
    <row r="116" spans="1:18" outlineLevel="1" x14ac:dyDescent="0.3">
      <c r="A116" s="34" t="s">
        <v>194</v>
      </c>
      <c r="B116" s="71" t="s">
        <v>195</v>
      </c>
      <c r="C116" s="71" t="s">
        <v>15</v>
      </c>
      <c r="D116" s="72">
        <v>5112110</v>
      </c>
      <c r="E116" s="72" t="s">
        <v>196</v>
      </c>
      <c r="F116" s="35">
        <f>SUM(G116:R116)</f>
        <v>0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 outlineLevel="1" x14ac:dyDescent="0.3">
      <c r="A117" s="34" t="s">
        <v>197</v>
      </c>
      <c r="B117" s="71" t="s">
        <v>197</v>
      </c>
      <c r="C117" s="71" t="s">
        <v>15</v>
      </c>
      <c r="D117" s="72">
        <v>5112120</v>
      </c>
      <c r="E117" s="72" t="s">
        <v>198</v>
      </c>
      <c r="F117" s="35">
        <f>SUM(G117:R117)</f>
        <v>0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 x14ac:dyDescent="0.3">
      <c r="A118" s="26" t="s">
        <v>199</v>
      </c>
      <c r="B118" s="73" t="s">
        <v>7</v>
      </c>
      <c r="C118" s="73"/>
      <c r="D118" s="74"/>
      <c r="E118" s="74"/>
      <c r="F118" s="29">
        <f t="shared" ref="F118:R118" si="19">SUM(F119:F127)</f>
        <v>0</v>
      </c>
      <c r="G118" s="29">
        <f t="shared" si="19"/>
        <v>0</v>
      </c>
      <c r="H118" s="29">
        <f t="shared" si="19"/>
        <v>0</v>
      </c>
      <c r="I118" s="29">
        <f t="shared" si="19"/>
        <v>0</v>
      </c>
      <c r="J118" s="29">
        <f t="shared" si="19"/>
        <v>0</v>
      </c>
      <c r="K118" s="29">
        <f t="shared" si="19"/>
        <v>0</v>
      </c>
      <c r="L118" s="29">
        <f t="shared" si="19"/>
        <v>0</v>
      </c>
      <c r="M118" s="29">
        <f t="shared" si="19"/>
        <v>0</v>
      </c>
      <c r="N118" s="29">
        <f t="shared" si="19"/>
        <v>0</v>
      </c>
      <c r="O118" s="29">
        <f t="shared" si="19"/>
        <v>0</v>
      </c>
      <c r="P118" s="29">
        <f t="shared" si="19"/>
        <v>0</v>
      </c>
      <c r="Q118" s="29">
        <f t="shared" si="19"/>
        <v>0</v>
      </c>
      <c r="R118" s="29">
        <f t="shared" si="19"/>
        <v>0</v>
      </c>
    </row>
    <row r="119" spans="1:18" outlineLevel="1" x14ac:dyDescent="0.3">
      <c r="A119" s="34" t="s">
        <v>200</v>
      </c>
      <c r="B119" s="71" t="s">
        <v>201</v>
      </c>
      <c r="C119" s="71" t="s">
        <v>27</v>
      </c>
      <c r="D119" s="72">
        <v>5113110</v>
      </c>
      <c r="E119" s="72" t="s">
        <v>202</v>
      </c>
      <c r="F119" s="35">
        <f t="shared" ref="F119:F127" si="20">SUM(G119:R119)</f>
        <v>0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 outlineLevel="1" x14ac:dyDescent="0.3">
      <c r="A120" s="34" t="s">
        <v>203</v>
      </c>
      <c r="B120" s="71" t="s">
        <v>204</v>
      </c>
      <c r="C120" s="71" t="s">
        <v>27</v>
      </c>
      <c r="D120" s="72">
        <v>5113120</v>
      </c>
      <c r="E120" s="72" t="s">
        <v>205</v>
      </c>
      <c r="F120" s="35">
        <f t="shared" si="20"/>
        <v>0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 outlineLevel="1" x14ac:dyDescent="0.3">
      <c r="A121" s="34" t="s">
        <v>206</v>
      </c>
      <c r="B121" s="71" t="s">
        <v>207</v>
      </c>
      <c r="C121" s="71" t="s">
        <v>27</v>
      </c>
      <c r="D121" s="72">
        <v>5113130</v>
      </c>
      <c r="E121" s="72" t="s">
        <v>208</v>
      </c>
      <c r="F121" s="35">
        <f t="shared" si="20"/>
        <v>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 outlineLevel="1" x14ac:dyDescent="0.3">
      <c r="A122" s="34" t="s">
        <v>209</v>
      </c>
      <c r="B122" s="71" t="s">
        <v>207</v>
      </c>
      <c r="C122" s="71" t="s">
        <v>27</v>
      </c>
      <c r="D122" s="72">
        <v>5113140</v>
      </c>
      <c r="E122" s="72" t="s">
        <v>208</v>
      </c>
      <c r="F122" s="35">
        <f t="shared" si="20"/>
        <v>0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 outlineLevel="1" x14ac:dyDescent="0.3">
      <c r="A123" s="34" t="s">
        <v>210</v>
      </c>
      <c r="B123" s="71" t="s">
        <v>211</v>
      </c>
      <c r="C123" s="71" t="s">
        <v>27</v>
      </c>
      <c r="D123" s="72">
        <v>5113150</v>
      </c>
      <c r="E123" s="72" t="s">
        <v>212</v>
      </c>
      <c r="F123" s="35">
        <f t="shared" si="20"/>
        <v>0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 outlineLevel="1" x14ac:dyDescent="0.3">
      <c r="A124" s="34" t="s">
        <v>213</v>
      </c>
      <c r="B124" s="71" t="s">
        <v>207</v>
      </c>
      <c r="C124" s="71" t="s">
        <v>27</v>
      </c>
      <c r="D124" s="72"/>
      <c r="E124" s="72" t="s">
        <v>208</v>
      </c>
      <c r="F124" s="35">
        <f t="shared" si="20"/>
        <v>0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 outlineLevel="1" x14ac:dyDescent="0.3">
      <c r="A125" s="34" t="s">
        <v>214</v>
      </c>
      <c r="B125" s="71" t="s">
        <v>207</v>
      </c>
      <c r="C125" s="71" t="s">
        <v>27</v>
      </c>
      <c r="D125" s="72">
        <v>5113170</v>
      </c>
      <c r="E125" s="72" t="s">
        <v>208</v>
      </c>
      <c r="F125" s="35">
        <f t="shared" si="20"/>
        <v>0</v>
      </c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 outlineLevel="1" x14ac:dyDescent="0.3">
      <c r="A126" s="34" t="s">
        <v>215</v>
      </c>
      <c r="B126" s="71" t="s">
        <v>7</v>
      </c>
      <c r="C126" s="71" t="s">
        <v>27</v>
      </c>
      <c r="D126" s="72">
        <v>5113210</v>
      </c>
      <c r="E126" s="72" t="s">
        <v>202</v>
      </c>
      <c r="F126" s="35">
        <f t="shared" si="20"/>
        <v>0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 outlineLevel="1" x14ac:dyDescent="0.3">
      <c r="A127" s="34" t="s">
        <v>216</v>
      </c>
      <c r="B127" s="75" t="s">
        <v>217</v>
      </c>
      <c r="C127" s="75" t="s">
        <v>27</v>
      </c>
      <c r="D127" s="72">
        <v>5113160</v>
      </c>
      <c r="E127" s="72" t="s">
        <v>208</v>
      </c>
      <c r="F127" s="35">
        <f t="shared" si="20"/>
        <v>0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 x14ac:dyDescent="0.3">
      <c r="A128" s="26" t="s">
        <v>218</v>
      </c>
      <c r="B128" s="73" t="s">
        <v>7</v>
      </c>
      <c r="C128" s="73"/>
      <c r="D128" s="74"/>
      <c r="E128" s="74"/>
      <c r="F128" s="29">
        <f t="shared" ref="F128:R128" si="21">F129</f>
        <v>0</v>
      </c>
      <c r="G128" s="29">
        <f t="shared" si="21"/>
        <v>0</v>
      </c>
      <c r="H128" s="29">
        <f t="shared" si="21"/>
        <v>0</v>
      </c>
      <c r="I128" s="29">
        <f t="shared" si="21"/>
        <v>0</v>
      </c>
      <c r="J128" s="29">
        <f t="shared" si="21"/>
        <v>0</v>
      </c>
      <c r="K128" s="29">
        <f t="shared" si="21"/>
        <v>0</v>
      </c>
      <c r="L128" s="29">
        <f t="shared" si="21"/>
        <v>0</v>
      </c>
      <c r="M128" s="29">
        <f t="shared" si="21"/>
        <v>0</v>
      </c>
      <c r="N128" s="29">
        <f t="shared" si="21"/>
        <v>0</v>
      </c>
      <c r="O128" s="29">
        <f t="shared" si="21"/>
        <v>0</v>
      </c>
      <c r="P128" s="29">
        <f t="shared" si="21"/>
        <v>0</v>
      </c>
      <c r="Q128" s="29">
        <f t="shared" si="21"/>
        <v>0</v>
      </c>
      <c r="R128" s="29">
        <f t="shared" si="21"/>
        <v>0</v>
      </c>
    </row>
    <row r="129" spans="1:18" outlineLevel="1" x14ac:dyDescent="0.3">
      <c r="A129" s="34" t="s">
        <v>219</v>
      </c>
      <c r="B129" s="71" t="s">
        <v>220</v>
      </c>
      <c r="C129" s="71" t="s">
        <v>15</v>
      </c>
      <c r="D129" s="72">
        <v>5115110</v>
      </c>
      <c r="E129" s="72" t="s">
        <v>221</v>
      </c>
      <c r="F129" s="35">
        <f>SUM(G129:R129)</f>
        <v>0</v>
      </c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 x14ac:dyDescent="0.3">
      <c r="A130" s="26" t="s">
        <v>222</v>
      </c>
      <c r="B130" s="73" t="s">
        <v>7</v>
      </c>
      <c r="C130" s="73"/>
      <c r="D130" s="74"/>
      <c r="E130" s="74"/>
      <c r="F130" s="29">
        <f t="shared" ref="F130:R130" si="22">SUM(F131:F137)</f>
        <v>3600000</v>
      </c>
      <c r="G130" s="29">
        <f t="shared" si="22"/>
        <v>300000</v>
      </c>
      <c r="H130" s="29">
        <f t="shared" si="22"/>
        <v>300000</v>
      </c>
      <c r="I130" s="29">
        <f t="shared" si="22"/>
        <v>300000</v>
      </c>
      <c r="J130" s="29">
        <f t="shared" si="22"/>
        <v>300000</v>
      </c>
      <c r="K130" s="29">
        <f t="shared" si="22"/>
        <v>300000</v>
      </c>
      <c r="L130" s="29">
        <f t="shared" si="22"/>
        <v>300000</v>
      </c>
      <c r="M130" s="29">
        <f t="shared" si="22"/>
        <v>300000</v>
      </c>
      <c r="N130" s="29">
        <f t="shared" si="22"/>
        <v>300000</v>
      </c>
      <c r="O130" s="29">
        <f t="shared" si="22"/>
        <v>300000</v>
      </c>
      <c r="P130" s="29">
        <f t="shared" si="22"/>
        <v>300000</v>
      </c>
      <c r="Q130" s="29">
        <f t="shared" si="22"/>
        <v>300000</v>
      </c>
      <c r="R130" s="29">
        <f t="shared" si="22"/>
        <v>300000</v>
      </c>
    </row>
    <row r="131" spans="1:18" outlineLevel="1" x14ac:dyDescent="0.3">
      <c r="A131" s="34" t="s">
        <v>223</v>
      </c>
      <c r="B131" s="71" t="s">
        <v>224</v>
      </c>
      <c r="C131" s="71" t="s">
        <v>15</v>
      </c>
      <c r="D131" s="72">
        <v>5116110</v>
      </c>
      <c r="E131" s="72" t="s">
        <v>225</v>
      </c>
      <c r="F131" s="35">
        <f t="shared" ref="F131:F137" si="23">SUM(G131:R131)</f>
        <v>0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 outlineLevel="1" x14ac:dyDescent="0.3">
      <c r="A132" s="34" t="s">
        <v>226</v>
      </c>
      <c r="B132" s="71" t="s">
        <v>224</v>
      </c>
      <c r="C132" s="71" t="s">
        <v>15</v>
      </c>
      <c r="D132" s="72">
        <v>5116120</v>
      </c>
      <c r="E132" s="72" t="s">
        <v>225</v>
      </c>
      <c r="F132" s="35">
        <f t="shared" si="23"/>
        <v>0</v>
      </c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 outlineLevel="1" x14ac:dyDescent="0.3">
      <c r="A133" s="34" t="s">
        <v>227</v>
      </c>
      <c r="B133" s="71" t="s">
        <v>228</v>
      </c>
      <c r="C133" s="71" t="s">
        <v>15</v>
      </c>
      <c r="D133" s="72">
        <v>5116130</v>
      </c>
      <c r="E133" s="72" t="s">
        <v>229</v>
      </c>
      <c r="F133" s="35">
        <f t="shared" si="23"/>
        <v>3000000</v>
      </c>
      <c r="G133" s="35">
        <v>250000</v>
      </c>
      <c r="H133" s="35">
        <v>250000</v>
      </c>
      <c r="I133" s="35">
        <v>250000</v>
      </c>
      <c r="J133" s="35">
        <v>250000</v>
      </c>
      <c r="K133" s="35">
        <v>250000</v>
      </c>
      <c r="L133" s="35">
        <v>250000</v>
      </c>
      <c r="M133" s="35">
        <v>250000</v>
      </c>
      <c r="N133" s="35">
        <v>250000</v>
      </c>
      <c r="O133" s="35">
        <v>250000</v>
      </c>
      <c r="P133" s="35">
        <v>250000</v>
      </c>
      <c r="Q133" s="35">
        <v>250000</v>
      </c>
      <c r="R133" s="35">
        <v>250000</v>
      </c>
    </row>
    <row r="134" spans="1:18" outlineLevel="1" x14ac:dyDescent="0.3">
      <c r="A134" s="34" t="s">
        <v>230</v>
      </c>
      <c r="B134" s="71" t="s">
        <v>224</v>
      </c>
      <c r="C134" s="71" t="s">
        <v>15</v>
      </c>
      <c r="D134" s="72">
        <v>5116140</v>
      </c>
      <c r="E134" s="72" t="s">
        <v>225</v>
      </c>
      <c r="F134" s="35">
        <f t="shared" si="23"/>
        <v>0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 outlineLevel="1" x14ac:dyDescent="0.3">
      <c r="A135" s="34" t="s">
        <v>231</v>
      </c>
      <c r="B135" s="71" t="s">
        <v>228</v>
      </c>
      <c r="C135" s="71" t="s">
        <v>15</v>
      </c>
      <c r="D135" s="72">
        <v>5116150</v>
      </c>
      <c r="E135" s="72" t="s">
        <v>229</v>
      </c>
      <c r="F135" s="35">
        <f t="shared" si="23"/>
        <v>600000</v>
      </c>
      <c r="G135" s="35">
        <v>50000</v>
      </c>
      <c r="H135" s="35">
        <v>50000</v>
      </c>
      <c r="I135" s="35">
        <v>50000</v>
      </c>
      <c r="J135" s="35">
        <v>50000</v>
      </c>
      <c r="K135" s="35">
        <v>50000</v>
      </c>
      <c r="L135" s="35">
        <v>50000</v>
      </c>
      <c r="M135" s="35">
        <v>50000</v>
      </c>
      <c r="N135" s="35">
        <v>50000</v>
      </c>
      <c r="O135" s="35">
        <v>50000</v>
      </c>
      <c r="P135" s="35">
        <v>50000</v>
      </c>
      <c r="Q135" s="35">
        <v>50000</v>
      </c>
      <c r="R135" s="35">
        <v>50000</v>
      </c>
    </row>
    <row r="136" spans="1:18" outlineLevel="1" x14ac:dyDescent="0.3">
      <c r="A136" s="34" t="s">
        <v>232</v>
      </c>
      <c r="B136" s="71" t="s">
        <v>224</v>
      </c>
      <c r="C136" s="71" t="s">
        <v>15</v>
      </c>
      <c r="D136" s="72">
        <v>5116160</v>
      </c>
      <c r="E136" s="72" t="s">
        <v>225</v>
      </c>
      <c r="F136" s="35">
        <f t="shared" si="23"/>
        <v>0</v>
      </c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 outlineLevel="1" x14ac:dyDescent="0.3">
      <c r="A137" s="34" t="s">
        <v>233</v>
      </c>
      <c r="B137" s="71" t="s">
        <v>224</v>
      </c>
      <c r="C137" s="71" t="s">
        <v>15</v>
      </c>
      <c r="D137" s="72">
        <v>5116111</v>
      </c>
      <c r="E137" s="72" t="s">
        <v>225</v>
      </c>
      <c r="F137" s="35">
        <f t="shared" si="23"/>
        <v>0</v>
      </c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</row>
    <row r="138" spans="1:18" x14ac:dyDescent="0.3">
      <c r="A138" s="26" t="s">
        <v>234</v>
      </c>
      <c r="B138" s="73" t="s">
        <v>7</v>
      </c>
      <c r="C138" s="73"/>
      <c r="D138" s="74"/>
      <c r="E138" s="74"/>
      <c r="F138" s="29">
        <f t="shared" ref="F138:R138" si="24">F139</f>
        <v>0</v>
      </c>
      <c r="G138" s="29">
        <f t="shared" si="24"/>
        <v>0</v>
      </c>
      <c r="H138" s="29">
        <f t="shared" si="24"/>
        <v>0</v>
      </c>
      <c r="I138" s="29">
        <f t="shared" si="24"/>
        <v>0</v>
      </c>
      <c r="J138" s="29">
        <f t="shared" si="24"/>
        <v>0</v>
      </c>
      <c r="K138" s="29">
        <f t="shared" si="24"/>
        <v>0</v>
      </c>
      <c r="L138" s="29">
        <f t="shared" si="24"/>
        <v>0</v>
      </c>
      <c r="M138" s="29">
        <f t="shared" si="24"/>
        <v>0</v>
      </c>
      <c r="N138" s="29">
        <f t="shared" si="24"/>
        <v>0</v>
      </c>
      <c r="O138" s="29">
        <f t="shared" si="24"/>
        <v>0</v>
      </c>
      <c r="P138" s="29">
        <f t="shared" si="24"/>
        <v>0</v>
      </c>
      <c r="Q138" s="29">
        <f t="shared" si="24"/>
        <v>0</v>
      </c>
      <c r="R138" s="29">
        <f t="shared" si="24"/>
        <v>0</v>
      </c>
    </row>
    <row r="139" spans="1:18" outlineLevel="1" x14ac:dyDescent="0.3">
      <c r="A139" s="34" t="s">
        <v>235</v>
      </c>
      <c r="B139" s="71" t="s">
        <v>236</v>
      </c>
      <c r="C139" s="71" t="s">
        <v>15</v>
      </c>
      <c r="D139" s="72">
        <v>5117110</v>
      </c>
      <c r="E139" s="72" t="s">
        <v>237</v>
      </c>
      <c r="F139" s="35">
        <f>SUM(G139:R139)</f>
        <v>0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</row>
    <row r="140" spans="1:18" x14ac:dyDescent="0.3">
      <c r="A140" s="26" t="s">
        <v>238</v>
      </c>
      <c r="B140" s="73" t="s">
        <v>7</v>
      </c>
      <c r="C140" s="73"/>
      <c r="D140" s="74"/>
      <c r="E140" s="74"/>
      <c r="F140" s="29">
        <f t="shared" ref="F140:R140" si="25">SUM(F141:F145)</f>
        <v>0</v>
      </c>
      <c r="G140" s="29">
        <f t="shared" si="25"/>
        <v>0</v>
      </c>
      <c r="H140" s="29">
        <f t="shared" si="25"/>
        <v>0</v>
      </c>
      <c r="I140" s="29">
        <f t="shared" si="25"/>
        <v>0</v>
      </c>
      <c r="J140" s="29">
        <f t="shared" si="25"/>
        <v>0</v>
      </c>
      <c r="K140" s="29">
        <f t="shared" si="25"/>
        <v>0</v>
      </c>
      <c r="L140" s="29">
        <f t="shared" si="25"/>
        <v>0</v>
      </c>
      <c r="M140" s="29">
        <f t="shared" si="25"/>
        <v>0</v>
      </c>
      <c r="N140" s="29">
        <f t="shared" si="25"/>
        <v>0</v>
      </c>
      <c r="O140" s="29">
        <f t="shared" si="25"/>
        <v>0</v>
      </c>
      <c r="P140" s="29">
        <f t="shared" si="25"/>
        <v>0</v>
      </c>
      <c r="Q140" s="29">
        <f t="shared" si="25"/>
        <v>0</v>
      </c>
      <c r="R140" s="29">
        <f t="shared" si="25"/>
        <v>0</v>
      </c>
    </row>
    <row r="141" spans="1:18" outlineLevel="1" x14ac:dyDescent="0.3">
      <c r="A141" s="34" t="s">
        <v>239</v>
      </c>
      <c r="B141" s="71" t="s">
        <v>240</v>
      </c>
      <c r="C141" s="71" t="s">
        <v>15</v>
      </c>
      <c r="D141" s="72">
        <v>5118110</v>
      </c>
      <c r="E141" s="72" t="s">
        <v>241</v>
      </c>
      <c r="F141" s="35">
        <f>SUM(G141:R141)</f>
        <v>0</v>
      </c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</row>
    <row r="142" spans="1:18" outlineLevel="1" x14ac:dyDescent="0.3">
      <c r="A142" s="34" t="s">
        <v>242</v>
      </c>
      <c r="B142" s="71" t="s">
        <v>243</v>
      </c>
      <c r="C142" s="71" t="s">
        <v>15</v>
      </c>
      <c r="D142" s="72">
        <v>5118120</v>
      </c>
      <c r="E142" s="72" t="s">
        <v>244</v>
      </c>
      <c r="F142" s="35">
        <f>SUM(G142:R142)</f>
        <v>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</row>
    <row r="143" spans="1:18" outlineLevel="1" x14ac:dyDescent="0.3">
      <c r="A143" s="34" t="s">
        <v>245</v>
      </c>
      <c r="B143" s="71" t="s">
        <v>246</v>
      </c>
      <c r="C143" s="71" t="s">
        <v>15</v>
      </c>
      <c r="D143" s="72">
        <v>5118130</v>
      </c>
      <c r="E143" s="72" t="s">
        <v>247</v>
      </c>
      <c r="F143" s="35">
        <f>SUM(G143:R143)</f>
        <v>0</v>
      </c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</row>
    <row r="144" spans="1:18" outlineLevel="1" x14ac:dyDescent="0.3">
      <c r="A144" s="34" t="s">
        <v>248</v>
      </c>
      <c r="B144" s="71" t="s">
        <v>7</v>
      </c>
      <c r="C144" s="71" t="s">
        <v>15</v>
      </c>
      <c r="D144" s="72">
        <v>5118140</v>
      </c>
      <c r="E144" s="72" t="s">
        <v>249</v>
      </c>
      <c r="F144" s="35">
        <f>SUM(G144:R144)</f>
        <v>0</v>
      </c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</row>
    <row r="145" spans="1:18" outlineLevel="1" x14ac:dyDescent="0.3">
      <c r="A145" s="34" t="s">
        <v>250</v>
      </c>
      <c r="B145" s="71" t="s">
        <v>7</v>
      </c>
      <c r="C145" s="71" t="s">
        <v>15</v>
      </c>
      <c r="D145" s="72">
        <v>5118150</v>
      </c>
      <c r="E145" s="72" t="s">
        <v>251</v>
      </c>
      <c r="F145" s="35">
        <f>SUM(G145:R145)</f>
        <v>0</v>
      </c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</row>
    <row r="146" spans="1:18" x14ac:dyDescent="0.3">
      <c r="A146" s="26" t="s">
        <v>252</v>
      </c>
      <c r="B146" s="73" t="s">
        <v>7</v>
      </c>
      <c r="C146" s="73"/>
      <c r="D146" s="74"/>
      <c r="E146" s="74"/>
      <c r="F146" s="29">
        <f t="shared" ref="F146:R146" si="26">SUM(F147:F148)</f>
        <v>8000000</v>
      </c>
      <c r="G146" s="29">
        <f t="shared" si="26"/>
        <v>666666</v>
      </c>
      <c r="H146" s="29">
        <f t="shared" si="26"/>
        <v>666667</v>
      </c>
      <c r="I146" s="29">
        <f t="shared" si="26"/>
        <v>666667</v>
      </c>
      <c r="J146" s="29">
        <f t="shared" si="26"/>
        <v>666666</v>
      </c>
      <c r="K146" s="29">
        <f t="shared" si="26"/>
        <v>666667</v>
      </c>
      <c r="L146" s="29">
        <f t="shared" si="26"/>
        <v>666667</v>
      </c>
      <c r="M146" s="29">
        <f t="shared" si="26"/>
        <v>666666</v>
      </c>
      <c r="N146" s="29">
        <f t="shared" si="26"/>
        <v>666667</v>
      </c>
      <c r="O146" s="29">
        <f t="shared" si="26"/>
        <v>666667</v>
      </c>
      <c r="P146" s="29">
        <f t="shared" si="26"/>
        <v>666666</v>
      </c>
      <c r="Q146" s="29">
        <f t="shared" si="26"/>
        <v>666667</v>
      </c>
      <c r="R146" s="29">
        <f t="shared" si="26"/>
        <v>666667</v>
      </c>
    </row>
    <row r="147" spans="1:18" outlineLevel="1" x14ac:dyDescent="0.3">
      <c r="A147" s="34" t="s">
        <v>253</v>
      </c>
      <c r="B147" s="71" t="s">
        <v>254</v>
      </c>
      <c r="C147" s="71" t="s">
        <v>15</v>
      </c>
      <c r="D147" s="72">
        <v>5130110</v>
      </c>
      <c r="E147" s="72" t="s">
        <v>249</v>
      </c>
      <c r="F147" s="35">
        <f>SUM(G147:R147)</f>
        <v>0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</row>
    <row r="148" spans="1:18" outlineLevel="1" x14ac:dyDescent="0.3">
      <c r="A148" s="34" t="s">
        <v>255</v>
      </c>
      <c r="B148" s="71" t="s">
        <v>256</v>
      </c>
      <c r="C148" s="71" t="s">
        <v>15</v>
      </c>
      <c r="D148" s="72">
        <v>5130120</v>
      </c>
      <c r="E148" s="72" t="s">
        <v>251</v>
      </c>
      <c r="F148" s="35">
        <f>SUM(G148:R148)</f>
        <v>8000000</v>
      </c>
      <c r="G148" s="35">
        <v>666666</v>
      </c>
      <c r="H148" s="35">
        <v>666667</v>
      </c>
      <c r="I148" s="35">
        <v>666667</v>
      </c>
      <c r="J148" s="35">
        <v>666666</v>
      </c>
      <c r="K148" s="35">
        <v>666667</v>
      </c>
      <c r="L148" s="35">
        <v>666667</v>
      </c>
      <c r="M148" s="35">
        <v>666666</v>
      </c>
      <c r="N148" s="35">
        <v>666667</v>
      </c>
      <c r="O148" s="35">
        <v>666667</v>
      </c>
      <c r="P148" s="35">
        <v>666666</v>
      </c>
      <c r="Q148" s="35">
        <v>666667</v>
      </c>
      <c r="R148" s="35">
        <v>666667</v>
      </c>
    </row>
    <row r="149" spans="1:18" x14ac:dyDescent="0.3">
      <c r="A149" s="26" t="s">
        <v>257</v>
      </c>
      <c r="B149" s="73" t="s">
        <v>7</v>
      </c>
      <c r="C149" s="73"/>
      <c r="D149" s="74"/>
      <c r="E149" s="74"/>
      <c r="F149" s="29">
        <f t="shared" ref="F149:R149" si="27">SUM(F150:F157)</f>
        <v>0</v>
      </c>
      <c r="G149" s="29">
        <f t="shared" si="27"/>
        <v>0</v>
      </c>
      <c r="H149" s="29">
        <f t="shared" si="27"/>
        <v>0</v>
      </c>
      <c r="I149" s="29">
        <f t="shared" si="27"/>
        <v>0</v>
      </c>
      <c r="J149" s="29">
        <f t="shared" si="27"/>
        <v>0</v>
      </c>
      <c r="K149" s="29">
        <f t="shared" si="27"/>
        <v>0</v>
      </c>
      <c r="L149" s="29">
        <f t="shared" si="27"/>
        <v>0</v>
      </c>
      <c r="M149" s="29">
        <f t="shared" si="27"/>
        <v>0</v>
      </c>
      <c r="N149" s="29">
        <f t="shared" si="27"/>
        <v>0</v>
      </c>
      <c r="O149" s="29">
        <f t="shared" si="27"/>
        <v>0</v>
      </c>
      <c r="P149" s="29">
        <f t="shared" si="27"/>
        <v>0</v>
      </c>
      <c r="Q149" s="29">
        <f t="shared" si="27"/>
        <v>0</v>
      </c>
      <c r="R149" s="29">
        <f t="shared" si="27"/>
        <v>0</v>
      </c>
    </row>
    <row r="150" spans="1:18" outlineLevel="1" x14ac:dyDescent="0.3">
      <c r="A150" s="34" t="s">
        <v>258</v>
      </c>
      <c r="B150" s="71" t="s">
        <v>259</v>
      </c>
      <c r="C150" s="71" t="s">
        <v>15</v>
      </c>
      <c r="D150" s="72">
        <v>5119110</v>
      </c>
      <c r="E150" s="72" t="s">
        <v>260</v>
      </c>
      <c r="F150" s="35">
        <f t="shared" ref="F150:F157" si="28">SUM(G150:R150)</f>
        <v>0</v>
      </c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</row>
    <row r="151" spans="1:18" outlineLevel="1" x14ac:dyDescent="0.3">
      <c r="A151" s="34" t="s">
        <v>261</v>
      </c>
      <c r="B151" s="71" t="s">
        <v>262</v>
      </c>
      <c r="C151" s="71" t="s">
        <v>15</v>
      </c>
      <c r="D151" s="72">
        <v>5119120</v>
      </c>
      <c r="E151" s="72" t="s">
        <v>263</v>
      </c>
      <c r="F151" s="35">
        <f t="shared" si="28"/>
        <v>0</v>
      </c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</row>
    <row r="152" spans="1:18" outlineLevel="1" x14ac:dyDescent="0.3">
      <c r="A152" s="34" t="s">
        <v>264</v>
      </c>
      <c r="B152" s="71" t="s">
        <v>265</v>
      </c>
      <c r="C152" s="71" t="s">
        <v>15</v>
      </c>
      <c r="D152" s="72">
        <v>5119130</v>
      </c>
      <c r="E152" s="72" t="s">
        <v>266</v>
      </c>
      <c r="F152" s="35">
        <f t="shared" si="28"/>
        <v>0</v>
      </c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1:18" outlineLevel="1" x14ac:dyDescent="0.3">
      <c r="A153" s="34" t="s">
        <v>267</v>
      </c>
      <c r="B153" s="71" t="s">
        <v>268</v>
      </c>
      <c r="C153" s="71" t="s">
        <v>15</v>
      </c>
      <c r="D153" s="72">
        <v>5119140</v>
      </c>
      <c r="E153" s="72" t="s">
        <v>269</v>
      </c>
      <c r="F153" s="35">
        <f t="shared" si="28"/>
        <v>0</v>
      </c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</row>
    <row r="154" spans="1:18" outlineLevel="1" x14ac:dyDescent="0.3">
      <c r="A154" s="34" t="s">
        <v>270</v>
      </c>
      <c r="B154" s="71" t="s">
        <v>271</v>
      </c>
      <c r="C154" s="71" t="s">
        <v>15</v>
      </c>
      <c r="D154" s="72">
        <v>5119150</v>
      </c>
      <c r="E154" s="72" t="s">
        <v>272</v>
      </c>
      <c r="F154" s="35">
        <f t="shared" si="28"/>
        <v>0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</row>
    <row r="155" spans="1:18" outlineLevel="1" x14ac:dyDescent="0.3">
      <c r="A155" s="34" t="s">
        <v>273</v>
      </c>
      <c r="B155" s="71" t="s">
        <v>274</v>
      </c>
      <c r="C155" s="71" t="s">
        <v>15</v>
      </c>
      <c r="D155" s="72">
        <v>5119160</v>
      </c>
      <c r="E155" s="72" t="s">
        <v>275</v>
      </c>
      <c r="F155" s="35">
        <f t="shared" si="28"/>
        <v>0</v>
      </c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</row>
    <row r="156" spans="1:18" outlineLevel="1" x14ac:dyDescent="0.3">
      <c r="A156" s="34" t="s">
        <v>276</v>
      </c>
      <c r="B156" s="71" t="s">
        <v>276</v>
      </c>
      <c r="C156" s="71" t="s">
        <v>15</v>
      </c>
      <c r="D156" s="72">
        <v>5119121</v>
      </c>
      <c r="E156" s="72" t="s">
        <v>277</v>
      </c>
      <c r="F156" s="35">
        <f t="shared" si="28"/>
        <v>0</v>
      </c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1:18" outlineLevel="1" x14ac:dyDescent="0.3">
      <c r="A157" s="34" t="s">
        <v>278</v>
      </c>
      <c r="B157" s="75" t="s">
        <v>279</v>
      </c>
      <c r="C157" s="75" t="s">
        <v>15</v>
      </c>
      <c r="D157" s="72">
        <v>5119151</v>
      </c>
      <c r="E157" s="72" t="s">
        <v>272</v>
      </c>
      <c r="F157" s="35">
        <f t="shared" si="28"/>
        <v>0</v>
      </c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</row>
    <row r="158" spans="1:18" x14ac:dyDescent="0.3">
      <c r="A158" s="26" t="s">
        <v>280</v>
      </c>
      <c r="B158" s="73" t="s">
        <v>7</v>
      </c>
      <c r="C158" s="73"/>
      <c r="D158" s="74"/>
      <c r="E158" s="74"/>
      <c r="F158" s="29">
        <f t="shared" ref="F158:R158" si="29">SUM(F159:F162)</f>
        <v>0</v>
      </c>
      <c r="G158" s="29">
        <f t="shared" si="29"/>
        <v>0</v>
      </c>
      <c r="H158" s="29">
        <f t="shared" si="29"/>
        <v>0</v>
      </c>
      <c r="I158" s="29">
        <f t="shared" si="29"/>
        <v>0</v>
      </c>
      <c r="J158" s="29">
        <f t="shared" si="29"/>
        <v>0</v>
      </c>
      <c r="K158" s="29">
        <f t="shared" si="29"/>
        <v>0</v>
      </c>
      <c r="L158" s="29">
        <f t="shared" si="29"/>
        <v>0</v>
      </c>
      <c r="M158" s="29">
        <f t="shared" si="29"/>
        <v>0</v>
      </c>
      <c r="N158" s="29">
        <f t="shared" si="29"/>
        <v>0</v>
      </c>
      <c r="O158" s="29">
        <f t="shared" si="29"/>
        <v>0</v>
      </c>
      <c r="P158" s="29">
        <f t="shared" si="29"/>
        <v>0</v>
      </c>
      <c r="Q158" s="29">
        <f t="shared" si="29"/>
        <v>0</v>
      </c>
      <c r="R158" s="29">
        <f t="shared" si="29"/>
        <v>0</v>
      </c>
    </row>
    <row r="159" spans="1:18" outlineLevel="1" x14ac:dyDescent="0.3">
      <c r="A159" s="34" t="s">
        <v>281</v>
      </c>
      <c r="B159" s="71" t="s">
        <v>282</v>
      </c>
      <c r="C159" s="71" t="s">
        <v>27</v>
      </c>
      <c r="D159" s="72">
        <v>5120110</v>
      </c>
      <c r="E159" s="72" t="s">
        <v>283</v>
      </c>
      <c r="F159" s="35">
        <f>SUM(G159:R159)</f>
        <v>0</v>
      </c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</row>
    <row r="160" spans="1:18" outlineLevel="1" x14ac:dyDescent="0.3">
      <c r="A160" s="40" t="s">
        <v>284</v>
      </c>
      <c r="B160" s="71" t="s">
        <v>282</v>
      </c>
      <c r="C160" s="71" t="s">
        <v>27</v>
      </c>
      <c r="D160" s="72">
        <v>5120140</v>
      </c>
      <c r="E160" s="72" t="s">
        <v>283</v>
      </c>
      <c r="F160" s="35">
        <f>SUM(G160:R160)</f>
        <v>0</v>
      </c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</row>
    <row r="161" spans="1:18" outlineLevel="1" x14ac:dyDescent="0.3">
      <c r="A161" s="40" t="s">
        <v>285</v>
      </c>
      <c r="B161" s="71" t="s">
        <v>282</v>
      </c>
      <c r="C161" s="71" t="s">
        <v>27</v>
      </c>
      <c r="D161" s="72">
        <v>5120130</v>
      </c>
      <c r="E161" s="72" t="s">
        <v>283</v>
      </c>
      <c r="F161" s="35">
        <f>SUM(G161:R161)</f>
        <v>0</v>
      </c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</row>
    <row r="162" spans="1:18" outlineLevel="1" x14ac:dyDescent="0.3">
      <c r="A162" s="34" t="s">
        <v>286</v>
      </c>
      <c r="B162" s="71" t="s">
        <v>282</v>
      </c>
      <c r="C162" s="71" t="s">
        <v>27</v>
      </c>
      <c r="D162" s="72">
        <v>5120120</v>
      </c>
      <c r="E162" s="72" t="s">
        <v>283</v>
      </c>
      <c r="F162" s="35">
        <f>SUM(G162:R162)</f>
        <v>0</v>
      </c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</row>
    <row r="163" spans="1:18" x14ac:dyDescent="0.3">
      <c r="A163" s="26" t="s">
        <v>287</v>
      </c>
      <c r="B163" s="73" t="s">
        <v>7</v>
      </c>
      <c r="C163" s="73"/>
      <c r="D163" s="74"/>
      <c r="E163" s="74"/>
      <c r="F163" s="29">
        <f t="shared" ref="F163:R163" si="30">SUM(F164:F167)</f>
        <v>0</v>
      </c>
      <c r="G163" s="29">
        <f t="shared" si="30"/>
        <v>0</v>
      </c>
      <c r="H163" s="29">
        <f t="shared" si="30"/>
        <v>0</v>
      </c>
      <c r="I163" s="29">
        <f t="shared" si="30"/>
        <v>0</v>
      </c>
      <c r="J163" s="29">
        <f t="shared" si="30"/>
        <v>0</v>
      </c>
      <c r="K163" s="29">
        <f t="shared" si="30"/>
        <v>0</v>
      </c>
      <c r="L163" s="29">
        <f t="shared" si="30"/>
        <v>0</v>
      </c>
      <c r="M163" s="29">
        <f t="shared" si="30"/>
        <v>0</v>
      </c>
      <c r="N163" s="29">
        <f t="shared" si="30"/>
        <v>0</v>
      </c>
      <c r="O163" s="29">
        <f t="shared" si="30"/>
        <v>0</v>
      </c>
      <c r="P163" s="29">
        <f t="shared" si="30"/>
        <v>0</v>
      </c>
      <c r="Q163" s="29">
        <f t="shared" si="30"/>
        <v>0</v>
      </c>
      <c r="R163" s="29">
        <f t="shared" si="30"/>
        <v>0</v>
      </c>
    </row>
    <row r="164" spans="1:18" outlineLevel="1" x14ac:dyDescent="0.3">
      <c r="A164" s="34" t="s">
        <v>288</v>
      </c>
      <c r="B164" s="71" t="s">
        <v>288</v>
      </c>
      <c r="C164" s="71" t="s">
        <v>15</v>
      </c>
      <c r="D164" s="72">
        <v>5121110</v>
      </c>
      <c r="E164" s="72" t="s">
        <v>289</v>
      </c>
      <c r="F164" s="35">
        <f>SUM(G164:R164)</f>
        <v>0</v>
      </c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</row>
    <row r="165" spans="1:18" outlineLevel="1" x14ac:dyDescent="0.3">
      <c r="A165" s="34" t="s">
        <v>290</v>
      </c>
      <c r="B165" s="71" t="s">
        <v>290</v>
      </c>
      <c r="C165" s="71" t="s">
        <v>15</v>
      </c>
      <c r="D165" s="72">
        <v>5121120</v>
      </c>
      <c r="E165" s="72" t="s">
        <v>291</v>
      </c>
      <c r="F165" s="35">
        <f>SUM(G165:R165)</f>
        <v>0</v>
      </c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</row>
    <row r="166" spans="1:18" outlineLevel="1" x14ac:dyDescent="0.3">
      <c r="A166" s="34" t="s">
        <v>292</v>
      </c>
      <c r="B166" s="71" t="s">
        <v>292</v>
      </c>
      <c r="C166" s="71" t="s">
        <v>27</v>
      </c>
      <c r="D166" s="72">
        <v>5121140</v>
      </c>
      <c r="E166" s="72" t="s">
        <v>293</v>
      </c>
      <c r="F166" s="35">
        <f>SUM(G166:R166)</f>
        <v>0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</row>
    <row r="167" spans="1:18" outlineLevel="1" x14ac:dyDescent="0.3">
      <c r="A167" s="34" t="s">
        <v>294</v>
      </c>
      <c r="B167" s="71" t="s">
        <v>295</v>
      </c>
      <c r="C167" s="71" t="s">
        <v>15</v>
      </c>
      <c r="D167" s="72">
        <v>5121150</v>
      </c>
      <c r="E167" s="72" t="s">
        <v>296</v>
      </c>
      <c r="F167" s="35">
        <f>SUM(G167:R167)</f>
        <v>0</v>
      </c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</row>
    <row r="168" spans="1:18" x14ac:dyDescent="0.3">
      <c r="A168" s="26" t="s">
        <v>297</v>
      </c>
      <c r="B168" s="73" t="s">
        <v>7</v>
      </c>
      <c r="C168" s="73"/>
      <c r="D168" s="74"/>
      <c r="E168" s="74"/>
      <c r="F168" s="29">
        <f t="shared" ref="F168:R168" si="31">SUM(F169:F172)</f>
        <v>2400000</v>
      </c>
      <c r="G168" s="29">
        <f t="shared" si="31"/>
        <v>200000</v>
      </c>
      <c r="H168" s="29">
        <f t="shared" si="31"/>
        <v>200000</v>
      </c>
      <c r="I168" s="29">
        <f t="shared" si="31"/>
        <v>200000</v>
      </c>
      <c r="J168" s="29">
        <f t="shared" si="31"/>
        <v>200000</v>
      </c>
      <c r="K168" s="29">
        <f t="shared" si="31"/>
        <v>200000</v>
      </c>
      <c r="L168" s="29">
        <f t="shared" si="31"/>
        <v>200000</v>
      </c>
      <c r="M168" s="29">
        <f t="shared" si="31"/>
        <v>200000</v>
      </c>
      <c r="N168" s="29">
        <f t="shared" si="31"/>
        <v>200000</v>
      </c>
      <c r="O168" s="29">
        <f t="shared" si="31"/>
        <v>200000</v>
      </c>
      <c r="P168" s="29">
        <f t="shared" si="31"/>
        <v>200000</v>
      </c>
      <c r="Q168" s="29">
        <f t="shared" si="31"/>
        <v>200000</v>
      </c>
      <c r="R168" s="29">
        <f t="shared" si="31"/>
        <v>200000</v>
      </c>
    </row>
    <row r="169" spans="1:18" outlineLevel="1" x14ac:dyDescent="0.3">
      <c r="A169" s="34" t="s">
        <v>298</v>
      </c>
      <c r="B169" s="71" t="s">
        <v>299</v>
      </c>
      <c r="C169" s="71" t="s">
        <v>27</v>
      </c>
      <c r="D169" s="72">
        <v>5122110</v>
      </c>
      <c r="E169" s="72" t="s">
        <v>300</v>
      </c>
      <c r="F169" s="35">
        <f>SUM(G169:R169)</f>
        <v>0</v>
      </c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</row>
    <row r="170" spans="1:18" outlineLevel="1" x14ac:dyDescent="0.3">
      <c r="A170" s="34" t="s">
        <v>301</v>
      </c>
      <c r="B170" s="71" t="s">
        <v>302</v>
      </c>
      <c r="C170" s="71" t="s">
        <v>15</v>
      </c>
      <c r="D170" s="72">
        <v>5122120</v>
      </c>
      <c r="E170" s="72" t="s">
        <v>303</v>
      </c>
      <c r="F170" s="35">
        <f>SUM(G170:R170)</f>
        <v>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</row>
    <row r="171" spans="1:18" outlineLevel="1" x14ac:dyDescent="0.3">
      <c r="A171" s="40" t="s">
        <v>304</v>
      </c>
      <c r="B171" s="71" t="s">
        <v>305</v>
      </c>
      <c r="C171" s="71" t="s">
        <v>15</v>
      </c>
      <c r="D171" s="72">
        <v>5122130</v>
      </c>
      <c r="E171" s="72" t="s">
        <v>306</v>
      </c>
      <c r="F171" s="35">
        <f>SUM(G171:R171)</f>
        <v>0</v>
      </c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</row>
    <row r="172" spans="1:18" outlineLevel="1" x14ac:dyDescent="0.3">
      <c r="A172" s="34" t="s">
        <v>307</v>
      </c>
      <c r="B172" s="71" t="s">
        <v>308</v>
      </c>
      <c r="C172" s="71" t="s">
        <v>15</v>
      </c>
      <c r="D172" s="72">
        <v>5122140</v>
      </c>
      <c r="E172" s="72" t="s">
        <v>309</v>
      </c>
      <c r="F172" s="35">
        <f>SUM(G172:R172)</f>
        <v>2400000</v>
      </c>
      <c r="G172" s="35">
        <v>200000</v>
      </c>
      <c r="H172" s="35">
        <v>200000</v>
      </c>
      <c r="I172" s="35">
        <v>200000</v>
      </c>
      <c r="J172" s="35">
        <v>200000</v>
      </c>
      <c r="K172" s="35">
        <v>200000</v>
      </c>
      <c r="L172" s="35">
        <v>200000</v>
      </c>
      <c r="M172" s="35">
        <v>200000</v>
      </c>
      <c r="N172" s="35">
        <v>200000</v>
      </c>
      <c r="O172" s="35">
        <v>200000</v>
      </c>
      <c r="P172" s="35">
        <v>200000</v>
      </c>
      <c r="Q172" s="35">
        <v>200000</v>
      </c>
      <c r="R172" s="35">
        <v>200000</v>
      </c>
    </row>
    <row r="173" spans="1:18" x14ac:dyDescent="0.3">
      <c r="A173" s="26" t="s">
        <v>310</v>
      </c>
      <c r="B173" s="73" t="s">
        <v>7</v>
      </c>
      <c r="C173" s="73"/>
      <c r="D173" s="74"/>
      <c r="E173" s="74"/>
      <c r="F173" s="29">
        <f t="shared" ref="F173:R173" si="32">SUM(F174:F176)</f>
        <v>0</v>
      </c>
      <c r="G173" s="29">
        <f t="shared" si="32"/>
        <v>0</v>
      </c>
      <c r="H173" s="29">
        <f t="shared" si="32"/>
        <v>0</v>
      </c>
      <c r="I173" s="29">
        <f t="shared" si="32"/>
        <v>0</v>
      </c>
      <c r="J173" s="29">
        <f t="shared" si="32"/>
        <v>0</v>
      </c>
      <c r="K173" s="29">
        <f t="shared" si="32"/>
        <v>0</v>
      </c>
      <c r="L173" s="29">
        <f t="shared" si="32"/>
        <v>0</v>
      </c>
      <c r="M173" s="29">
        <f t="shared" si="32"/>
        <v>0</v>
      </c>
      <c r="N173" s="29">
        <f t="shared" si="32"/>
        <v>0</v>
      </c>
      <c r="O173" s="29">
        <f t="shared" si="32"/>
        <v>0</v>
      </c>
      <c r="P173" s="29">
        <f t="shared" si="32"/>
        <v>0</v>
      </c>
      <c r="Q173" s="29">
        <f t="shared" si="32"/>
        <v>0</v>
      </c>
      <c r="R173" s="29">
        <f t="shared" si="32"/>
        <v>0</v>
      </c>
    </row>
    <row r="174" spans="1:18" outlineLevel="1" x14ac:dyDescent="0.3">
      <c r="A174" s="34" t="s">
        <v>311</v>
      </c>
      <c r="B174" s="71" t="s">
        <v>312</v>
      </c>
      <c r="C174" s="71" t="s">
        <v>15</v>
      </c>
      <c r="D174" s="72">
        <v>5123110</v>
      </c>
      <c r="E174" s="72" t="s">
        <v>313</v>
      </c>
      <c r="F174" s="35">
        <f>SUM(G174:R174)</f>
        <v>0</v>
      </c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</row>
    <row r="175" spans="1:18" outlineLevel="1" x14ac:dyDescent="0.3">
      <c r="A175" s="34" t="s">
        <v>314</v>
      </c>
      <c r="B175" s="71" t="s">
        <v>315</v>
      </c>
      <c r="C175" s="71" t="s">
        <v>15</v>
      </c>
      <c r="D175" s="72">
        <v>5123120</v>
      </c>
      <c r="E175" s="72" t="s">
        <v>316</v>
      </c>
      <c r="F175" s="35">
        <f>SUM(G175:R175)</f>
        <v>0</v>
      </c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</row>
    <row r="176" spans="1:18" outlineLevel="1" x14ac:dyDescent="0.3">
      <c r="A176" s="57" t="s">
        <v>317</v>
      </c>
      <c r="B176" s="83" t="s">
        <v>318</v>
      </c>
      <c r="C176" s="83" t="s">
        <v>15</v>
      </c>
      <c r="D176" s="84">
        <v>5123130</v>
      </c>
      <c r="E176" s="84" t="s">
        <v>319</v>
      </c>
      <c r="F176" s="60">
        <f>SUM(G176:R176)</f>
        <v>0</v>
      </c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8351-C2ED-44E6-A0C7-0975D8676A14}">
  <sheetPr>
    <tabColor theme="9"/>
  </sheetPr>
  <dimension ref="A1:R176"/>
  <sheetViews>
    <sheetView zoomScale="85" zoomScaleNormal="85" workbookViewId="0">
      <pane xSplit="5" ySplit="4" topLeftCell="F92" activePane="bottomRight" state="frozen"/>
      <selection activeCell="BF17" sqref="BF17"/>
      <selection pane="topRight" activeCell="BF17" sqref="BF17"/>
      <selection pane="bottomLeft" activeCell="BF17" sqref="BF17"/>
      <selection pane="bottomRight" activeCell="F110" sqref="F110"/>
    </sheetView>
  </sheetViews>
  <sheetFormatPr defaultColWidth="9" defaultRowHeight="16.5" outlineLevelRow="1" outlineLevelCol="1" x14ac:dyDescent="0.3"/>
  <cols>
    <col min="1" max="1" width="41" style="1" customWidth="1"/>
    <col min="2" max="2" width="27.75" style="1" customWidth="1" outlineLevel="1"/>
    <col min="3" max="3" width="9.875" style="1" customWidth="1" outlineLevel="1"/>
    <col min="4" max="4" width="9.25" style="2" customWidth="1" outlineLevel="1"/>
    <col min="5" max="5" width="13.25" style="2" customWidth="1" outlineLevel="1"/>
    <col min="6" max="6" width="14.25" style="1" bestFit="1" customWidth="1"/>
    <col min="7" max="7" width="14.25" style="1" bestFit="1" customWidth="1" outlineLevel="1"/>
    <col min="8" max="8" width="14.25" style="1" customWidth="1" outlineLevel="1"/>
    <col min="9" max="9" width="14.25" style="1" bestFit="1" customWidth="1" outlineLevel="1"/>
    <col min="10" max="18" width="14.25" style="1" customWidth="1" outlineLevel="1"/>
    <col min="19" max="16384" width="9" style="1"/>
  </cols>
  <sheetData>
    <row r="1" spans="1:18" x14ac:dyDescent="0.3">
      <c r="A1" s="65" t="s">
        <v>322</v>
      </c>
      <c r="G1" s="90"/>
    </row>
    <row r="2" spans="1:18" x14ac:dyDescent="0.3">
      <c r="A2" s="1" t="s">
        <v>0</v>
      </c>
    </row>
    <row r="3" spans="1:18" x14ac:dyDescent="0.3">
      <c r="A3" s="3" t="s">
        <v>323</v>
      </c>
    </row>
    <row r="4" spans="1:18" x14ac:dyDescent="0.3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>
        <v>2026.1</v>
      </c>
      <c r="Q4" s="12">
        <v>2026.11</v>
      </c>
      <c r="R4" s="12">
        <v>2026.12</v>
      </c>
    </row>
    <row r="5" spans="1:18" x14ac:dyDescent="0.3">
      <c r="A5" s="13" t="s">
        <v>6</v>
      </c>
      <c r="B5" s="14" t="s">
        <v>7</v>
      </c>
      <c r="C5" s="14"/>
      <c r="D5" s="15"/>
      <c r="E5" s="15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</row>
    <row r="6" spans="1:18" x14ac:dyDescent="0.3">
      <c r="A6" s="18" t="s">
        <v>8</v>
      </c>
      <c r="B6" s="19" t="s">
        <v>7</v>
      </c>
      <c r="C6" s="19"/>
      <c r="D6" s="20"/>
      <c r="E6" s="20"/>
      <c r="F6" s="21"/>
      <c r="G6" s="21"/>
      <c r="H6" s="21"/>
      <c r="I6" s="21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3">
      <c r="A7" s="13" t="s">
        <v>9</v>
      </c>
      <c r="B7" s="14" t="s">
        <v>7</v>
      </c>
      <c r="C7" s="14"/>
      <c r="D7" s="15"/>
      <c r="E7" s="15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3">
      <c r="A8" s="18" t="s">
        <v>10</v>
      </c>
      <c r="B8" s="19" t="s">
        <v>7</v>
      </c>
      <c r="C8" s="19"/>
      <c r="D8" s="20"/>
      <c r="E8" s="20"/>
      <c r="F8" s="21"/>
      <c r="G8" s="21"/>
      <c r="H8" s="21"/>
      <c r="I8" s="21"/>
      <c r="J8" s="23"/>
      <c r="K8" s="23"/>
      <c r="L8" s="23"/>
      <c r="M8" s="23"/>
      <c r="N8" s="23"/>
      <c r="O8" s="23"/>
      <c r="P8" s="23"/>
      <c r="Q8" s="23"/>
      <c r="R8" s="23"/>
    </row>
    <row r="9" spans="1:18" x14ac:dyDescent="0.3">
      <c r="A9" s="13" t="s">
        <v>11</v>
      </c>
      <c r="B9" s="14" t="s">
        <v>7</v>
      </c>
      <c r="C9" s="14"/>
      <c r="D9" s="15"/>
      <c r="E9" s="1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3">
      <c r="A10" s="26" t="s">
        <v>12</v>
      </c>
      <c r="B10" s="27" t="s">
        <v>7</v>
      </c>
      <c r="C10" s="27"/>
      <c r="D10" s="28"/>
      <c r="E10" s="2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outlineLevel="1" x14ac:dyDescent="0.3">
      <c r="A11" s="34" t="s">
        <v>13</v>
      </c>
      <c r="B11" s="19" t="s">
        <v>14</v>
      </c>
      <c r="C11" s="19" t="s">
        <v>15</v>
      </c>
      <c r="D11" s="20">
        <v>5102110</v>
      </c>
      <c r="E11" s="20" t="s">
        <v>16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outlineLevel="1" x14ac:dyDescent="0.3">
      <c r="A12" s="34" t="s">
        <v>17</v>
      </c>
      <c r="B12" s="19" t="s">
        <v>18</v>
      </c>
      <c r="C12" s="19" t="s">
        <v>15</v>
      </c>
      <c r="D12" s="20">
        <v>5102120</v>
      </c>
      <c r="E12" s="20" t="s">
        <v>19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x14ac:dyDescent="0.3">
      <c r="A13" s="26" t="s">
        <v>20</v>
      </c>
      <c r="B13" s="27" t="s">
        <v>7</v>
      </c>
      <c r="C13" s="27"/>
      <c r="D13" s="28" t="s">
        <v>21</v>
      </c>
      <c r="E13" s="28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outlineLevel="1" x14ac:dyDescent="0.3">
      <c r="A14" s="40" t="s">
        <v>22</v>
      </c>
      <c r="B14" s="19" t="s">
        <v>14</v>
      </c>
      <c r="C14" s="19" t="s">
        <v>15</v>
      </c>
      <c r="D14" s="20">
        <v>5102210</v>
      </c>
      <c r="E14" s="20" t="s">
        <v>16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outlineLevel="1" x14ac:dyDescent="0.3">
      <c r="A15" s="34" t="s">
        <v>23</v>
      </c>
      <c r="B15" s="19" t="s">
        <v>18</v>
      </c>
      <c r="C15" s="19" t="s">
        <v>15</v>
      </c>
      <c r="D15" s="20">
        <v>5102220</v>
      </c>
      <c r="E15" s="20" t="s">
        <v>19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outlineLevel="1" x14ac:dyDescent="0.3">
      <c r="A16" s="34" t="s">
        <v>24</v>
      </c>
      <c r="B16" s="19" t="s">
        <v>14</v>
      </c>
      <c r="C16" s="19" t="s">
        <v>15</v>
      </c>
      <c r="D16" s="20">
        <v>5102230</v>
      </c>
      <c r="E16" s="20" t="s">
        <v>16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outlineLevel="1" x14ac:dyDescent="0.3">
      <c r="A17" s="34" t="s">
        <v>25</v>
      </c>
      <c r="B17" s="19" t="s">
        <v>26</v>
      </c>
      <c r="C17" s="19" t="s">
        <v>27</v>
      </c>
      <c r="D17" s="20">
        <v>5102240</v>
      </c>
      <c r="E17" s="20" t="s">
        <v>28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outlineLevel="1" x14ac:dyDescent="0.3">
      <c r="A18" s="34" t="s">
        <v>29</v>
      </c>
      <c r="B18" s="19" t="s">
        <v>14</v>
      </c>
      <c r="C18" s="19" t="s">
        <v>15</v>
      </c>
      <c r="D18" s="20">
        <v>5102250</v>
      </c>
      <c r="E18" s="20" t="s">
        <v>16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outlineLevel="1" x14ac:dyDescent="0.3">
      <c r="A19" s="34" t="s">
        <v>30</v>
      </c>
      <c r="B19" s="19" t="s">
        <v>26</v>
      </c>
      <c r="C19" s="19" t="s">
        <v>15</v>
      </c>
      <c r="D19" s="20">
        <v>5102260</v>
      </c>
      <c r="E19" s="20" t="s">
        <v>28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18" outlineLevel="1" x14ac:dyDescent="0.3">
      <c r="A20" s="34" t="s">
        <v>31</v>
      </c>
      <c r="B20" s="19" t="s">
        <v>14</v>
      </c>
      <c r="C20" s="19" t="s">
        <v>15</v>
      </c>
      <c r="D20" s="20">
        <v>5102280</v>
      </c>
      <c r="E20" s="20" t="s">
        <v>16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outlineLevel="1" x14ac:dyDescent="0.3">
      <c r="A21" s="34" t="s">
        <v>32</v>
      </c>
      <c r="B21" s="19" t="s">
        <v>26</v>
      </c>
      <c r="C21" s="19" t="s">
        <v>15</v>
      </c>
      <c r="D21" s="20">
        <v>5102290</v>
      </c>
      <c r="E21" s="20" t="s">
        <v>28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18" x14ac:dyDescent="0.3">
      <c r="A22" s="26" t="s">
        <v>33</v>
      </c>
      <c r="B22" s="27" t="s">
        <v>7</v>
      </c>
      <c r="C22" s="27"/>
      <c r="D22" s="28" t="s">
        <v>21</v>
      </c>
      <c r="E22" s="28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outlineLevel="1" x14ac:dyDescent="0.3">
      <c r="A23" s="34" t="s">
        <v>34</v>
      </c>
      <c r="B23" s="19" t="s">
        <v>18</v>
      </c>
      <c r="C23" s="19" t="s">
        <v>15</v>
      </c>
      <c r="D23" s="20">
        <v>5102410</v>
      </c>
      <c r="E23" s="20" t="s">
        <v>19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outlineLevel="1" x14ac:dyDescent="0.3">
      <c r="A24" s="34" t="s">
        <v>35</v>
      </c>
      <c r="B24" s="42" t="s">
        <v>7</v>
      </c>
      <c r="C24" s="42" t="s">
        <v>15</v>
      </c>
      <c r="D24" s="20">
        <v>5102420</v>
      </c>
      <c r="E24" s="20" t="s">
        <v>28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outlineLevel="1" x14ac:dyDescent="0.3">
      <c r="A25" s="34" t="s">
        <v>36</v>
      </c>
      <c r="B25" s="42"/>
      <c r="C25" s="42" t="s">
        <v>37</v>
      </c>
      <c r="D25" s="20" t="s">
        <v>38</v>
      </c>
      <c r="E25" s="20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18" x14ac:dyDescent="0.3">
      <c r="A26" s="13" t="s">
        <v>39</v>
      </c>
      <c r="B26" s="14" t="s">
        <v>7</v>
      </c>
      <c r="C26" s="14"/>
      <c r="D26" s="15"/>
      <c r="E26" s="15"/>
      <c r="F26" s="16">
        <f t="shared" ref="F26:R26" si="0">F27+F46+F52+F60+F68+F79+F88+F100+F107+F115+F118+F128+F130+F138+F140+F146+F149+F158+F163+F168+F173</f>
        <v>3726603892</v>
      </c>
      <c r="G26" s="16">
        <f t="shared" si="0"/>
        <v>306191991</v>
      </c>
      <c r="H26" s="16">
        <f t="shared" si="0"/>
        <v>316191991</v>
      </c>
      <c r="I26" s="16">
        <f t="shared" si="0"/>
        <v>416091991</v>
      </c>
      <c r="J26" s="16">
        <f t="shared" si="0"/>
        <v>299491991</v>
      </c>
      <c r="K26" s="16">
        <f t="shared" si="0"/>
        <v>309491991</v>
      </c>
      <c r="L26" s="16">
        <f t="shared" si="0"/>
        <v>309391991</v>
      </c>
      <c r="M26" s="16">
        <f t="shared" si="0"/>
        <v>300158658</v>
      </c>
      <c r="N26" s="16">
        <f t="shared" si="0"/>
        <v>290158658</v>
      </c>
      <c r="O26" s="16">
        <f t="shared" si="0"/>
        <v>300058657</v>
      </c>
      <c r="P26" s="16">
        <f t="shared" si="0"/>
        <v>286491991</v>
      </c>
      <c r="Q26" s="16">
        <f t="shared" si="0"/>
        <v>296491991</v>
      </c>
      <c r="R26" s="16">
        <f t="shared" si="0"/>
        <v>296391991</v>
      </c>
    </row>
    <row r="27" spans="1:18" x14ac:dyDescent="0.3">
      <c r="A27" s="26" t="s">
        <v>40</v>
      </c>
      <c r="B27" s="27" t="s">
        <v>7</v>
      </c>
      <c r="C27" s="27"/>
      <c r="D27" s="28"/>
      <c r="E27" s="28"/>
      <c r="F27" s="46">
        <f t="shared" ref="F27" si="1">SUM(F28:F45)</f>
        <v>198000000</v>
      </c>
      <c r="G27" s="46">
        <f>SUM(G28:G45)</f>
        <v>16500000</v>
      </c>
      <c r="H27" s="46">
        <f t="shared" ref="H27:R27" si="2">SUM(H28:H45)</f>
        <v>16500000</v>
      </c>
      <c r="I27" s="46">
        <f t="shared" si="2"/>
        <v>16500000</v>
      </c>
      <c r="J27" s="46">
        <f t="shared" si="2"/>
        <v>16500000</v>
      </c>
      <c r="K27" s="46">
        <f t="shared" si="2"/>
        <v>16500000</v>
      </c>
      <c r="L27" s="46">
        <f t="shared" si="2"/>
        <v>16500000</v>
      </c>
      <c r="M27" s="46">
        <f t="shared" si="2"/>
        <v>16500000</v>
      </c>
      <c r="N27" s="46">
        <f t="shared" si="2"/>
        <v>16500000</v>
      </c>
      <c r="O27" s="46">
        <f t="shared" si="2"/>
        <v>16500000</v>
      </c>
      <c r="P27" s="46">
        <f t="shared" si="2"/>
        <v>16500000</v>
      </c>
      <c r="Q27" s="46">
        <f t="shared" si="2"/>
        <v>16500000</v>
      </c>
      <c r="R27" s="46">
        <f t="shared" si="2"/>
        <v>16500000</v>
      </c>
    </row>
    <row r="28" spans="1:18" outlineLevel="1" x14ac:dyDescent="0.3">
      <c r="A28" s="34" t="s">
        <v>41</v>
      </c>
      <c r="B28" s="19" t="s">
        <v>42</v>
      </c>
      <c r="C28" s="19" t="s">
        <v>15</v>
      </c>
      <c r="D28" s="20">
        <v>5103260</v>
      </c>
      <c r="E28" s="20" t="s">
        <v>43</v>
      </c>
      <c r="F28" s="21">
        <f t="shared" ref="F28:F45" si="3">SUM(G28:R28)</f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outlineLevel="1" x14ac:dyDescent="0.3">
      <c r="A29" s="34" t="s">
        <v>44</v>
      </c>
      <c r="B29" s="19" t="s">
        <v>45</v>
      </c>
      <c r="C29" s="19" t="s">
        <v>15</v>
      </c>
      <c r="D29" s="20">
        <v>5103250</v>
      </c>
      <c r="E29" s="20" t="s">
        <v>46</v>
      </c>
      <c r="F29" s="21">
        <f t="shared" si="3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outlineLevel="1" x14ac:dyDescent="0.3">
      <c r="A30" s="34" t="s">
        <v>47</v>
      </c>
      <c r="B30" s="19" t="s">
        <v>48</v>
      </c>
      <c r="C30" s="19" t="s">
        <v>15</v>
      </c>
      <c r="D30" s="20">
        <v>5103240</v>
      </c>
      <c r="E30" s="20" t="s">
        <v>49</v>
      </c>
      <c r="F30" s="21">
        <f t="shared" si="3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outlineLevel="1" x14ac:dyDescent="0.3">
      <c r="A31" s="34" t="s">
        <v>50</v>
      </c>
      <c r="B31" s="19" t="s">
        <v>51</v>
      </c>
      <c r="C31" s="19" t="s">
        <v>15</v>
      </c>
      <c r="D31" s="20">
        <v>5103230</v>
      </c>
      <c r="E31" s="20" t="s">
        <v>52</v>
      </c>
      <c r="F31" s="21">
        <f t="shared" si="3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outlineLevel="1" x14ac:dyDescent="0.3">
      <c r="A32" s="34" t="s">
        <v>53</v>
      </c>
      <c r="B32" s="19" t="s">
        <v>54</v>
      </c>
      <c r="C32" s="19" t="s">
        <v>15</v>
      </c>
      <c r="D32" s="20">
        <v>5103220</v>
      </c>
      <c r="E32" s="20" t="s">
        <v>55</v>
      </c>
      <c r="F32" s="21">
        <f t="shared" si="3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outlineLevel="1" x14ac:dyDescent="0.3">
      <c r="A33" s="34" t="s">
        <v>56</v>
      </c>
      <c r="B33" s="19" t="s">
        <v>56</v>
      </c>
      <c r="C33" s="19" t="s">
        <v>15</v>
      </c>
      <c r="D33" s="20">
        <v>5103210</v>
      </c>
      <c r="E33" s="20" t="s">
        <v>57</v>
      </c>
      <c r="F33" s="21">
        <f t="shared" si="3"/>
        <v>600000</v>
      </c>
      <c r="G33" s="21">
        <v>50000</v>
      </c>
      <c r="H33" s="21">
        <v>50000</v>
      </c>
      <c r="I33" s="21">
        <v>50000</v>
      </c>
      <c r="J33" s="21">
        <v>50000</v>
      </c>
      <c r="K33" s="21">
        <v>50000</v>
      </c>
      <c r="L33" s="21">
        <v>50000</v>
      </c>
      <c r="M33" s="21">
        <v>50000</v>
      </c>
      <c r="N33" s="21">
        <v>50000</v>
      </c>
      <c r="O33" s="21">
        <v>50000</v>
      </c>
      <c r="P33" s="21">
        <v>50000</v>
      </c>
      <c r="Q33" s="21">
        <v>50000</v>
      </c>
      <c r="R33" s="21">
        <v>50000</v>
      </c>
    </row>
    <row r="34" spans="1:18" outlineLevel="1" x14ac:dyDescent="0.3">
      <c r="A34" s="34" t="s">
        <v>58</v>
      </c>
      <c r="B34" s="19" t="s">
        <v>59</v>
      </c>
      <c r="C34" s="19" t="s">
        <v>15</v>
      </c>
      <c r="D34" s="20">
        <v>5103190</v>
      </c>
      <c r="E34" s="20" t="s">
        <v>60</v>
      </c>
      <c r="F34" s="21">
        <f t="shared" si="3"/>
        <v>1920000</v>
      </c>
      <c r="G34" s="21">
        <v>160000</v>
      </c>
      <c r="H34" s="21">
        <v>160000</v>
      </c>
      <c r="I34" s="21">
        <v>160000</v>
      </c>
      <c r="J34" s="21">
        <v>160000</v>
      </c>
      <c r="K34" s="21">
        <v>160000</v>
      </c>
      <c r="L34" s="21">
        <v>160000</v>
      </c>
      <c r="M34" s="21">
        <v>160000</v>
      </c>
      <c r="N34" s="21">
        <v>160000</v>
      </c>
      <c r="O34" s="21">
        <v>160000</v>
      </c>
      <c r="P34" s="21">
        <v>160000</v>
      </c>
      <c r="Q34" s="21">
        <v>160000</v>
      </c>
      <c r="R34" s="21">
        <v>160000</v>
      </c>
    </row>
    <row r="35" spans="1:18" outlineLevel="1" x14ac:dyDescent="0.3">
      <c r="A35" s="34" t="s">
        <v>61</v>
      </c>
      <c r="B35" s="19" t="s">
        <v>62</v>
      </c>
      <c r="C35" s="19" t="s">
        <v>15</v>
      </c>
      <c r="D35" s="20">
        <v>5103180</v>
      </c>
      <c r="E35" s="20" t="s">
        <v>63</v>
      </c>
      <c r="F35" s="21">
        <f t="shared" si="3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outlineLevel="1" x14ac:dyDescent="0.3">
      <c r="A36" s="34" t="s">
        <v>64</v>
      </c>
      <c r="B36" s="19" t="s">
        <v>65</v>
      </c>
      <c r="C36" s="19" t="s">
        <v>15</v>
      </c>
      <c r="D36" s="20">
        <v>5103170</v>
      </c>
      <c r="E36" s="20" t="s">
        <v>66</v>
      </c>
      <c r="F36" s="21">
        <f t="shared" si="3"/>
        <v>0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outlineLevel="1" x14ac:dyDescent="0.3">
      <c r="A37" s="34" t="s">
        <v>67</v>
      </c>
      <c r="B37" s="19" t="s">
        <v>68</v>
      </c>
      <c r="C37" s="19" t="s">
        <v>15</v>
      </c>
      <c r="D37" s="20">
        <v>5103160</v>
      </c>
      <c r="E37" s="20" t="s">
        <v>69</v>
      </c>
      <c r="F37" s="21">
        <f t="shared" si="3"/>
        <v>0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outlineLevel="1" x14ac:dyDescent="0.3">
      <c r="A38" s="34" t="s">
        <v>70</v>
      </c>
      <c r="B38" s="19" t="s">
        <v>71</v>
      </c>
      <c r="C38" s="19" t="s">
        <v>15</v>
      </c>
      <c r="D38" s="20">
        <v>5103150</v>
      </c>
      <c r="E38" s="20" t="s">
        <v>72</v>
      </c>
      <c r="F38" s="21">
        <f t="shared" si="3"/>
        <v>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outlineLevel="1" x14ac:dyDescent="0.3">
      <c r="A39" s="34" t="s">
        <v>73</v>
      </c>
      <c r="B39" s="19" t="s">
        <v>74</v>
      </c>
      <c r="C39" s="19" t="s">
        <v>15</v>
      </c>
      <c r="D39" s="20">
        <v>5103140</v>
      </c>
      <c r="E39" s="20" t="s">
        <v>75</v>
      </c>
      <c r="F39" s="21">
        <f t="shared" si="3"/>
        <v>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outlineLevel="1" x14ac:dyDescent="0.3">
      <c r="A40" s="34" t="s">
        <v>76</v>
      </c>
      <c r="B40" s="19" t="s">
        <v>7</v>
      </c>
      <c r="C40" s="19" t="s">
        <v>15</v>
      </c>
      <c r="D40" s="20">
        <v>5103130</v>
      </c>
      <c r="E40" s="20" t="s">
        <v>77</v>
      </c>
      <c r="F40" s="21">
        <f t="shared" si="3"/>
        <v>0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outlineLevel="1" x14ac:dyDescent="0.3">
      <c r="A41" s="34" t="s">
        <v>78</v>
      </c>
      <c r="B41" s="19" t="s">
        <v>79</v>
      </c>
      <c r="C41" s="19" t="s">
        <v>15</v>
      </c>
      <c r="D41" s="20">
        <v>5103120</v>
      </c>
      <c r="E41" s="20" t="s">
        <v>80</v>
      </c>
      <c r="F41" s="21">
        <f t="shared" si="3"/>
        <v>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outlineLevel="1" x14ac:dyDescent="0.3">
      <c r="A42" s="34" t="s">
        <v>81</v>
      </c>
      <c r="B42" s="19" t="s">
        <v>82</v>
      </c>
      <c r="C42" s="19" t="s">
        <v>15</v>
      </c>
      <c r="D42" s="20">
        <v>5103110</v>
      </c>
      <c r="E42" s="20" t="s">
        <v>83</v>
      </c>
      <c r="F42" s="21">
        <f t="shared" si="3"/>
        <v>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outlineLevel="1" x14ac:dyDescent="0.3">
      <c r="A43" s="34" t="s">
        <v>84</v>
      </c>
      <c r="B43" s="19" t="s">
        <v>59</v>
      </c>
      <c r="C43" s="19" t="s">
        <v>15</v>
      </c>
      <c r="D43" s="20">
        <v>5103270</v>
      </c>
      <c r="E43" s="20" t="s">
        <v>60</v>
      </c>
      <c r="F43" s="21">
        <f t="shared" si="3"/>
        <v>180000000</v>
      </c>
      <c r="G43" s="21">
        <v>15000000</v>
      </c>
      <c r="H43" s="21">
        <v>15000000</v>
      </c>
      <c r="I43" s="21">
        <v>15000000</v>
      </c>
      <c r="J43" s="21">
        <v>15000000</v>
      </c>
      <c r="K43" s="21">
        <v>15000000</v>
      </c>
      <c r="L43" s="21">
        <v>15000000</v>
      </c>
      <c r="M43" s="21">
        <v>15000000</v>
      </c>
      <c r="N43" s="21">
        <v>15000000</v>
      </c>
      <c r="O43" s="21">
        <v>15000000</v>
      </c>
      <c r="P43" s="21">
        <v>15000000</v>
      </c>
      <c r="Q43" s="21">
        <v>15000000</v>
      </c>
      <c r="R43" s="21">
        <v>15000000</v>
      </c>
    </row>
    <row r="44" spans="1:18" outlineLevel="1" x14ac:dyDescent="0.3">
      <c r="A44" s="34" t="s">
        <v>85</v>
      </c>
      <c r="B44" s="19" t="s">
        <v>85</v>
      </c>
      <c r="C44" s="19" t="s">
        <v>27</v>
      </c>
      <c r="D44" s="20">
        <v>5103111</v>
      </c>
      <c r="E44" s="20" t="s">
        <v>86</v>
      </c>
      <c r="F44" s="21">
        <f t="shared" si="3"/>
        <v>3600000</v>
      </c>
      <c r="G44" s="21">
        <v>300000</v>
      </c>
      <c r="H44" s="21">
        <v>300000</v>
      </c>
      <c r="I44" s="21">
        <v>300000</v>
      </c>
      <c r="J44" s="21">
        <v>300000</v>
      </c>
      <c r="K44" s="21">
        <v>300000</v>
      </c>
      <c r="L44" s="21">
        <v>300000</v>
      </c>
      <c r="M44" s="21">
        <v>300000</v>
      </c>
      <c r="N44" s="21">
        <v>300000</v>
      </c>
      <c r="O44" s="21">
        <v>300000</v>
      </c>
      <c r="P44" s="21">
        <v>300000</v>
      </c>
      <c r="Q44" s="21">
        <v>300000</v>
      </c>
      <c r="R44" s="21">
        <v>300000</v>
      </c>
    </row>
    <row r="45" spans="1:18" outlineLevel="1" x14ac:dyDescent="0.3">
      <c r="A45" s="34" t="s">
        <v>87</v>
      </c>
      <c r="B45" s="19" t="s">
        <v>87</v>
      </c>
      <c r="C45" s="19" t="s">
        <v>15</v>
      </c>
      <c r="D45" s="20">
        <v>5103131</v>
      </c>
      <c r="E45" s="20" t="s">
        <v>88</v>
      </c>
      <c r="F45" s="21">
        <f t="shared" si="3"/>
        <v>11880000</v>
      </c>
      <c r="G45" s="21">
        <v>990000</v>
      </c>
      <c r="H45" s="21">
        <v>990000</v>
      </c>
      <c r="I45" s="21">
        <v>990000</v>
      </c>
      <c r="J45" s="21">
        <v>990000</v>
      </c>
      <c r="K45" s="21">
        <v>990000</v>
      </c>
      <c r="L45" s="21">
        <v>990000</v>
      </c>
      <c r="M45" s="21">
        <v>990000</v>
      </c>
      <c r="N45" s="21">
        <v>990000</v>
      </c>
      <c r="O45" s="21">
        <v>990000</v>
      </c>
      <c r="P45" s="21">
        <v>990000</v>
      </c>
      <c r="Q45" s="21">
        <v>990000</v>
      </c>
      <c r="R45" s="21">
        <v>990000</v>
      </c>
    </row>
    <row r="46" spans="1:18" x14ac:dyDescent="0.3">
      <c r="A46" s="26" t="s">
        <v>89</v>
      </c>
      <c r="B46" s="27" t="s">
        <v>7</v>
      </c>
      <c r="C46" s="27"/>
      <c r="D46" s="28"/>
      <c r="E46" s="28"/>
      <c r="F46" s="46">
        <f t="shared" ref="F46:R46" si="4">SUM(F47:F51)</f>
        <v>2400000</v>
      </c>
      <c r="G46" s="46">
        <f t="shared" si="4"/>
        <v>200000</v>
      </c>
      <c r="H46" s="46">
        <f t="shared" si="4"/>
        <v>200000</v>
      </c>
      <c r="I46" s="46">
        <f t="shared" si="4"/>
        <v>200000</v>
      </c>
      <c r="J46" s="46">
        <f t="shared" si="4"/>
        <v>200000</v>
      </c>
      <c r="K46" s="46">
        <f t="shared" si="4"/>
        <v>200000</v>
      </c>
      <c r="L46" s="46">
        <f t="shared" si="4"/>
        <v>200000</v>
      </c>
      <c r="M46" s="46">
        <f t="shared" si="4"/>
        <v>200000</v>
      </c>
      <c r="N46" s="46">
        <f t="shared" si="4"/>
        <v>200000</v>
      </c>
      <c r="O46" s="46">
        <f t="shared" si="4"/>
        <v>200000</v>
      </c>
      <c r="P46" s="46">
        <f t="shared" si="4"/>
        <v>200000</v>
      </c>
      <c r="Q46" s="46">
        <f t="shared" si="4"/>
        <v>200000</v>
      </c>
      <c r="R46" s="46">
        <f t="shared" si="4"/>
        <v>200000</v>
      </c>
    </row>
    <row r="47" spans="1:18" outlineLevel="1" x14ac:dyDescent="0.3">
      <c r="A47" s="34" t="s">
        <v>90</v>
      </c>
      <c r="B47" s="19" t="s">
        <v>91</v>
      </c>
      <c r="C47" s="19" t="s">
        <v>15</v>
      </c>
      <c r="D47" s="20">
        <v>5104110</v>
      </c>
      <c r="E47" s="20" t="s">
        <v>92</v>
      </c>
      <c r="F47" s="21">
        <f>SUM(G47:R47)</f>
        <v>0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 spans="1:18" outlineLevel="1" x14ac:dyDescent="0.3">
      <c r="A48" s="34" t="s">
        <v>93</v>
      </c>
      <c r="B48" s="19" t="s">
        <v>94</v>
      </c>
      <c r="C48" s="19" t="s">
        <v>15</v>
      </c>
      <c r="D48" s="20">
        <v>5104120</v>
      </c>
      <c r="E48" s="20" t="s">
        <v>95</v>
      </c>
      <c r="F48" s="21">
        <f>SUM(G48:R48)</f>
        <v>1200000</v>
      </c>
      <c r="G48" s="21">
        <v>100000</v>
      </c>
      <c r="H48" s="21">
        <v>100000</v>
      </c>
      <c r="I48" s="21">
        <v>100000</v>
      </c>
      <c r="J48" s="21">
        <v>100000</v>
      </c>
      <c r="K48" s="21">
        <v>100000</v>
      </c>
      <c r="L48" s="21">
        <v>100000</v>
      </c>
      <c r="M48" s="21">
        <v>100000</v>
      </c>
      <c r="N48" s="21">
        <v>100000</v>
      </c>
      <c r="O48" s="21">
        <v>100000</v>
      </c>
      <c r="P48" s="21">
        <v>100000</v>
      </c>
      <c r="Q48" s="21">
        <v>100000</v>
      </c>
      <c r="R48" s="21">
        <v>100000</v>
      </c>
    </row>
    <row r="49" spans="1:18" outlineLevel="1" x14ac:dyDescent="0.3">
      <c r="A49" s="34" t="s">
        <v>96</v>
      </c>
      <c r="B49" s="19" t="s">
        <v>97</v>
      </c>
      <c r="C49" s="19" t="s">
        <v>15</v>
      </c>
      <c r="D49" s="20">
        <v>5104130</v>
      </c>
      <c r="E49" s="20" t="s">
        <v>98</v>
      </c>
      <c r="F49" s="21">
        <f>SUM(G49:R49)</f>
        <v>1200000</v>
      </c>
      <c r="G49" s="21">
        <v>100000</v>
      </c>
      <c r="H49" s="21">
        <v>100000</v>
      </c>
      <c r="I49" s="21">
        <v>100000</v>
      </c>
      <c r="J49" s="21">
        <v>100000</v>
      </c>
      <c r="K49" s="21">
        <v>100000</v>
      </c>
      <c r="L49" s="21">
        <v>100000</v>
      </c>
      <c r="M49" s="21">
        <v>100000</v>
      </c>
      <c r="N49" s="21">
        <v>100000</v>
      </c>
      <c r="O49" s="21">
        <v>100000</v>
      </c>
      <c r="P49" s="21">
        <v>100000</v>
      </c>
      <c r="Q49" s="21">
        <v>100000</v>
      </c>
      <c r="R49" s="21">
        <v>100000</v>
      </c>
    </row>
    <row r="50" spans="1:18" outlineLevel="1" x14ac:dyDescent="0.3">
      <c r="A50" s="34" t="s">
        <v>99</v>
      </c>
      <c r="B50" s="19" t="s">
        <v>100</v>
      </c>
      <c r="C50" s="19" t="s">
        <v>15</v>
      </c>
      <c r="D50" s="20">
        <v>5104140</v>
      </c>
      <c r="E50" s="20" t="s">
        <v>101</v>
      </c>
      <c r="F50" s="21">
        <f>SUM(G50:R50)</f>
        <v>0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 outlineLevel="1" x14ac:dyDescent="0.3">
      <c r="A51" s="34" t="s">
        <v>102</v>
      </c>
      <c r="B51" s="19" t="s">
        <v>102</v>
      </c>
      <c r="C51" s="19" t="s">
        <v>15</v>
      </c>
      <c r="D51" s="20">
        <v>5104150</v>
      </c>
      <c r="E51" s="20" t="s">
        <v>103</v>
      </c>
      <c r="F51" s="21">
        <f>SUM(G51:R51)</f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spans="1:18" x14ac:dyDescent="0.3">
      <c r="A52" s="26" t="s">
        <v>104</v>
      </c>
      <c r="B52" s="27" t="s">
        <v>7</v>
      </c>
      <c r="C52" s="27"/>
      <c r="D52" s="28"/>
      <c r="E52" s="28"/>
      <c r="F52" s="46">
        <f t="shared" ref="F52:R52" si="5">SUM(F53:F59)</f>
        <v>0</v>
      </c>
      <c r="G52" s="46">
        <f t="shared" si="5"/>
        <v>0</v>
      </c>
      <c r="H52" s="46">
        <f t="shared" si="5"/>
        <v>0</v>
      </c>
      <c r="I52" s="46">
        <f t="shared" si="5"/>
        <v>0</v>
      </c>
      <c r="J52" s="46">
        <f t="shared" si="5"/>
        <v>0</v>
      </c>
      <c r="K52" s="46">
        <f t="shared" si="5"/>
        <v>0</v>
      </c>
      <c r="L52" s="46">
        <f t="shared" si="5"/>
        <v>0</v>
      </c>
      <c r="M52" s="46">
        <f t="shared" si="5"/>
        <v>0</v>
      </c>
      <c r="N52" s="46">
        <f t="shared" si="5"/>
        <v>0</v>
      </c>
      <c r="O52" s="46">
        <f t="shared" si="5"/>
        <v>0</v>
      </c>
      <c r="P52" s="46">
        <f t="shared" si="5"/>
        <v>0</v>
      </c>
      <c r="Q52" s="46">
        <f t="shared" si="5"/>
        <v>0</v>
      </c>
      <c r="R52" s="46">
        <f t="shared" si="5"/>
        <v>0</v>
      </c>
    </row>
    <row r="53" spans="1:18" outlineLevel="1" x14ac:dyDescent="0.3">
      <c r="A53" s="34" t="s">
        <v>105</v>
      </c>
      <c r="B53" s="19" t="s">
        <v>106</v>
      </c>
      <c r="C53" s="19" t="s">
        <v>15</v>
      </c>
      <c r="D53" s="20">
        <v>5105160</v>
      </c>
      <c r="E53" s="20" t="s">
        <v>107</v>
      </c>
      <c r="F53" s="21">
        <f t="shared" ref="F53:F59" si="6">SUM(G53:R53)</f>
        <v>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</row>
    <row r="54" spans="1:18" outlineLevel="1" x14ac:dyDescent="0.3">
      <c r="A54" s="34" t="s">
        <v>108</v>
      </c>
      <c r="B54" s="19" t="s">
        <v>106</v>
      </c>
      <c r="C54" s="19" t="s">
        <v>15</v>
      </c>
      <c r="D54" s="20">
        <v>5105150</v>
      </c>
      <c r="E54" s="20" t="s">
        <v>107</v>
      </c>
      <c r="F54" s="21">
        <f t="shared" si="6"/>
        <v>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 spans="1:18" outlineLevel="1" x14ac:dyDescent="0.3">
      <c r="A55" s="34" t="s">
        <v>109</v>
      </c>
      <c r="B55" s="19" t="s">
        <v>110</v>
      </c>
      <c r="C55" s="19" t="s">
        <v>15</v>
      </c>
      <c r="D55" s="20">
        <v>5105140</v>
      </c>
      <c r="E55" s="20" t="s">
        <v>111</v>
      </c>
      <c r="F55" s="21">
        <f t="shared" si="6"/>
        <v>0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1:18" outlineLevel="1" x14ac:dyDescent="0.3">
      <c r="A56" s="34" t="s">
        <v>112</v>
      </c>
      <c r="B56" s="19" t="s">
        <v>106</v>
      </c>
      <c r="C56" s="19" t="s">
        <v>15</v>
      </c>
      <c r="D56" s="20">
        <v>5105130</v>
      </c>
      <c r="E56" s="20" t="s">
        <v>107</v>
      </c>
      <c r="F56" s="21">
        <f t="shared" si="6"/>
        <v>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spans="1:18" outlineLevel="1" x14ac:dyDescent="0.3">
      <c r="A57" s="34" t="s">
        <v>113</v>
      </c>
      <c r="B57" s="19" t="s">
        <v>106</v>
      </c>
      <c r="C57" s="19" t="s">
        <v>15</v>
      </c>
      <c r="D57" s="20">
        <v>5105120</v>
      </c>
      <c r="E57" s="20" t="s">
        <v>107</v>
      </c>
      <c r="F57" s="21">
        <f t="shared" si="6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 spans="1:18" outlineLevel="1" x14ac:dyDescent="0.3">
      <c r="A58" s="34" t="s">
        <v>114</v>
      </c>
      <c r="B58" s="19" t="s">
        <v>106</v>
      </c>
      <c r="C58" s="19" t="s">
        <v>15</v>
      </c>
      <c r="D58" s="20">
        <v>5105110</v>
      </c>
      <c r="E58" s="20" t="s">
        <v>107</v>
      </c>
      <c r="F58" s="21">
        <f t="shared" si="6"/>
        <v>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18" outlineLevel="1" x14ac:dyDescent="0.3">
      <c r="A59" s="34" t="s">
        <v>115</v>
      </c>
      <c r="B59" s="19" t="s">
        <v>106</v>
      </c>
      <c r="C59" s="19" t="s">
        <v>15</v>
      </c>
      <c r="D59" s="20">
        <v>5105111</v>
      </c>
      <c r="E59" s="20" t="s">
        <v>107</v>
      </c>
      <c r="F59" s="21">
        <f t="shared" si="6"/>
        <v>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  <row r="60" spans="1:18" x14ac:dyDescent="0.3">
      <c r="A60" s="26" t="s">
        <v>116</v>
      </c>
      <c r="B60" s="27" t="s">
        <v>7</v>
      </c>
      <c r="C60" s="27"/>
      <c r="D60" s="28"/>
      <c r="E60" s="28"/>
      <c r="F60" s="46">
        <f t="shared" ref="F60:R60" si="7">SUM(F61:F67)</f>
        <v>0</v>
      </c>
      <c r="G60" s="46">
        <f t="shared" si="7"/>
        <v>0</v>
      </c>
      <c r="H60" s="46">
        <f t="shared" si="7"/>
        <v>0</v>
      </c>
      <c r="I60" s="46">
        <f t="shared" si="7"/>
        <v>0</v>
      </c>
      <c r="J60" s="46">
        <f t="shared" si="7"/>
        <v>0</v>
      </c>
      <c r="K60" s="46">
        <f t="shared" si="7"/>
        <v>0</v>
      </c>
      <c r="L60" s="46">
        <f t="shared" si="7"/>
        <v>0</v>
      </c>
      <c r="M60" s="46">
        <f t="shared" si="7"/>
        <v>0</v>
      </c>
      <c r="N60" s="46">
        <f t="shared" si="7"/>
        <v>0</v>
      </c>
      <c r="O60" s="46">
        <f t="shared" si="7"/>
        <v>0</v>
      </c>
      <c r="P60" s="46">
        <f t="shared" si="7"/>
        <v>0</v>
      </c>
      <c r="Q60" s="46">
        <f t="shared" si="7"/>
        <v>0</v>
      </c>
      <c r="R60" s="46">
        <f t="shared" si="7"/>
        <v>0</v>
      </c>
    </row>
    <row r="61" spans="1:18" outlineLevel="1" x14ac:dyDescent="0.3">
      <c r="A61" s="34" t="s">
        <v>117</v>
      </c>
      <c r="B61" s="19" t="s">
        <v>118</v>
      </c>
      <c r="C61" s="19" t="s">
        <v>27</v>
      </c>
      <c r="D61" s="20">
        <v>5106110</v>
      </c>
      <c r="E61" s="20" t="s">
        <v>119</v>
      </c>
      <c r="F61" s="21">
        <f t="shared" ref="F61:F67" si="8">SUM(G61:R61)</f>
        <v>0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8" outlineLevel="1" x14ac:dyDescent="0.3">
      <c r="A62" s="34" t="s">
        <v>120</v>
      </c>
      <c r="B62" s="19" t="s">
        <v>118</v>
      </c>
      <c r="C62" s="19" t="s">
        <v>15</v>
      </c>
      <c r="D62" s="20">
        <v>5106120</v>
      </c>
      <c r="E62" s="20" t="s">
        <v>119</v>
      </c>
      <c r="F62" s="21">
        <f t="shared" si="8"/>
        <v>0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 spans="1:18" outlineLevel="1" x14ac:dyDescent="0.3">
      <c r="A63" s="34" t="s">
        <v>121</v>
      </c>
      <c r="B63" s="19" t="s">
        <v>118</v>
      </c>
      <c r="C63" s="19" t="s">
        <v>27</v>
      </c>
      <c r="D63" s="20">
        <v>5106130</v>
      </c>
      <c r="E63" s="20" t="s">
        <v>119</v>
      </c>
      <c r="F63" s="21">
        <f t="shared" si="8"/>
        <v>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 spans="1:18" outlineLevel="1" x14ac:dyDescent="0.3">
      <c r="A64" s="34" t="s">
        <v>122</v>
      </c>
      <c r="B64" s="19" t="s">
        <v>7</v>
      </c>
      <c r="C64" s="19" t="s">
        <v>27</v>
      </c>
      <c r="D64" s="20">
        <v>5106140</v>
      </c>
      <c r="E64" s="20" t="s">
        <v>119</v>
      </c>
      <c r="F64" s="21">
        <f t="shared" si="8"/>
        <v>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 spans="1:18" outlineLevel="1" x14ac:dyDescent="0.3">
      <c r="A65" s="34" t="s">
        <v>123</v>
      </c>
      <c r="B65" s="19" t="s">
        <v>118</v>
      </c>
      <c r="C65" s="19" t="s">
        <v>15</v>
      </c>
      <c r="D65" s="20">
        <v>5106150</v>
      </c>
      <c r="E65" s="20" t="s">
        <v>119</v>
      </c>
      <c r="F65" s="21">
        <f t="shared" si="8"/>
        <v>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</row>
    <row r="66" spans="1:18" outlineLevel="1" x14ac:dyDescent="0.3">
      <c r="A66" s="34" t="s">
        <v>124</v>
      </c>
      <c r="B66" s="19" t="s">
        <v>7</v>
      </c>
      <c r="C66" s="19" t="s">
        <v>27</v>
      </c>
      <c r="D66" s="20">
        <v>5106160</v>
      </c>
      <c r="E66" s="20" t="s">
        <v>119</v>
      </c>
      <c r="F66" s="21">
        <f t="shared" si="8"/>
        <v>0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</row>
    <row r="67" spans="1:18" outlineLevel="1" x14ac:dyDescent="0.3">
      <c r="A67" s="34" t="s">
        <v>125</v>
      </c>
      <c r="B67" s="19" t="s">
        <v>118</v>
      </c>
      <c r="C67" s="19" t="s">
        <v>15</v>
      </c>
      <c r="D67" s="20">
        <v>5106141</v>
      </c>
      <c r="E67" s="20" t="s">
        <v>119</v>
      </c>
      <c r="F67" s="21">
        <f t="shared" si="8"/>
        <v>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</row>
    <row r="68" spans="1:18" x14ac:dyDescent="0.3">
      <c r="A68" s="26" t="s">
        <v>126</v>
      </c>
      <c r="B68" s="27" t="s">
        <v>7</v>
      </c>
      <c r="C68" s="27"/>
      <c r="D68" s="28"/>
      <c r="E68" s="28"/>
      <c r="F68" s="46">
        <f t="shared" ref="F68:R68" si="9">SUM(F69:F78)</f>
        <v>0</v>
      </c>
      <c r="G68" s="46">
        <f t="shared" si="9"/>
        <v>0</v>
      </c>
      <c r="H68" s="46">
        <f t="shared" si="9"/>
        <v>0</v>
      </c>
      <c r="I68" s="46">
        <f t="shared" si="9"/>
        <v>0</v>
      </c>
      <c r="J68" s="46">
        <f t="shared" si="9"/>
        <v>0</v>
      </c>
      <c r="K68" s="46">
        <f t="shared" si="9"/>
        <v>0</v>
      </c>
      <c r="L68" s="46">
        <f t="shared" si="9"/>
        <v>0</v>
      </c>
      <c r="M68" s="46">
        <f t="shared" si="9"/>
        <v>0</v>
      </c>
      <c r="N68" s="46">
        <f t="shared" si="9"/>
        <v>0</v>
      </c>
      <c r="O68" s="46">
        <f t="shared" si="9"/>
        <v>0</v>
      </c>
      <c r="P68" s="46">
        <f t="shared" si="9"/>
        <v>0</v>
      </c>
      <c r="Q68" s="46">
        <f t="shared" si="9"/>
        <v>0</v>
      </c>
      <c r="R68" s="46">
        <f t="shared" si="9"/>
        <v>0</v>
      </c>
    </row>
    <row r="69" spans="1:18" outlineLevel="1" x14ac:dyDescent="0.3">
      <c r="A69" s="34" t="s">
        <v>127</v>
      </c>
      <c r="B69" s="19" t="s">
        <v>128</v>
      </c>
      <c r="C69" s="19" t="s">
        <v>15</v>
      </c>
      <c r="D69" s="20">
        <v>5107110</v>
      </c>
      <c r="E69" s="20" t="s">
        <v>129</v>
      </c>
      <c r="F69" s="21">
        <f t="shared" ref="F69:F78" si="10">SUM(G69:R69)</f>
        <v>0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1:18" outlineLevel="1" x14ac:dyDescent="0.3">
      <c r="A70" s="34" t="s">
        <v>130</v>
      </c>
      <c r="B70" s="19" t="s">
        <v>128</v>
      </c>
      <c r="C70" s="19" t="s">
        <v>15</v>
      </c>
      <c r="D70" s="20">
        <v>5107130</v>
      </c>
      <c r="E70" s="20" t="s">
        <v>129</v>
      </c>
      <c r="F70" s="21">
        <f t="shared" si="10"/>
        <v>0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</row>
    <row r="71" spans="1:18" outlineLevel="1" x14ac:dyDescent="0.3">
      <c r="A71" s="40" t="s">
        <v>131</v>
      </c>
      <c r="B71" s="19" t="s">
        <v>128</v>
      </c>
      <c r="C71" s="19" t="s">
        <v>15</v>
      </c>
      <c r="D71" s="20">
        <v>5107120</v>
      </c>
      <c r="E71" s="20" t="s">
        <v>129</v>
      </c>
      <c r="F71" s="21">
        <f t="shared" si="10"/>
        <v>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 spans="1:18" outlineLevel="1" x14ac:dyDescent="0.3">
      <c r="A72" s="34" t="s">
        <v>132</v>
      </c>
      <c r="B72" s="19" t="s">
        <v>128</v>
      </c>
      <c r="C72" s="19" t="s">
        <v>15</v>
      </c>
      <c r="D72" s="20">
        <v>5107140</v>
      </c>
      <c r="E72" s="20" t="s">
        <v>129</v>
      </c>
      <c r="F72" s="21">
        <f t="shared" si="10"/>
        <v>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</row>
    <row r="73" spans="1:18" outlineLevel="1" x14ac:dyDescent="0.3">
      <c r="A73" s="34" t="s">
        <v>133</v>
      </c>
      <c r="B73" s="19" t="s">
        <v>128</v>
      </c>
      <c r="C73" s="19" t="s">
        <v>15</v>
      </c>
      <c r="D73" s="20">
        <v>5107150</v>
      </c>
      <c r="E73" s="20" t="s">
        <v>129</v>
      </c>
      <c r="F73" s="21">
        <f t="shared" si="10"/>
        <v>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</row>
    <row r="74" spans="1:18" outlineLevel="1" x14ac:dyDescent="0.3">
      <c r="A74" s="34" t="s">
        <v>134</v>
      </c>
      <c r="B74" s="19" t="s">
        <v>128</v>
      </c>
      <c r="C74" s="19" t="s">
        <v>15</v>
      </c>
      <c r="D74" s="20">
        <v>5107160</v>
      </c>
      <c r="E74" s="20" t="s">
        <v>129</v>
      </c>
      <c r="F74" s="21">
        <f t="shared" si="10"/>
        <v>0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  <row r="75" spans="1:18" outlineLevel="1" x14ac:dyDescent="0.3">
      <c r="A75" s="34" t="s">
        <v>135</v>
      </c>
      <c r="B75" s="19" t="s">
        <v>128</v>
      </c>
      <c r="C75" s="19" t="s">
        <v>15</v>
      </c>
      <c r="D75" s="20">
        <v>5107170</v>
      </c>
      <c r="E75" s="20" t="s">
        <v>129</v>
      </c>
      <c r="F75" s="21">
        <f t="shared" si="10"/>
        <v>0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spans="1:18" outlineLevel="1" x14ac:dyDescent="0.3">
      <c r="A76" s="34" t="s">
        <v>136</v>
      </c>
      <c r="B76" s="19" t="s">
        <v>128</v>
      </c>
      <c r="C76" s="19" t="s">
        <v>15</v>
      </c>
      <c r="D76" s="20">
        <v>5107180</v>
      </c>
      <c r="E76" s="20" t="s">
        <v>129</v>
      </c>
      <c r="F76" s="21">
        <f t="shared" si="10"/>
        <v>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 spans="1:18" outlineLevel="1" x14ac:dyDescent="0.3">
      <c r="A77" s="64" t="s">
        <v>137</v>
      </c>
      <c r="B77" s="19" t="s">
        <v>138</v>
      </c>
      <c r="C77" s="19" t="s">
        <v>15</v>
      </c>
      <c r="D77" s="20">
        <v>5107190</v>
      </c>
      <c r="E77" s="20" t="s">
        <v>129</v>
      </c>
      <c r="F77" s="21">
        <f t="shared" si="10"/>
        <v>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18" outlineLevel="1" x14ac:dyDescent="0.3">
      <c r="A78" s="34" t="s">
        <v>139</v>
      </c>
      <c r="B78" s="19" t="s">
        <v>140</v>
      </c>
      <c r="C78" s="19" t="s">
        <v>15</v>
      </c>
      <c r="D78" s="20">
        <v>5107210</v>
      </c>
      <c r="E78" s="20" t="s">
        <v>141</v>
      </c>
      <c r="F78" s="21">
        <f t="shared" si="10"/>
        <v>0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</row>
    <row r="79" spans="1:18" x14ac:dyDescent="0.3">
      <c r="A79" s="26" t="s">
        <v>142</v>
      </c>
      <c r="B79" s="27" t="s">
        <v>7</v>
      </c>
      <c r="C79" s="27"/>
      <c r="D79" s="28"/>
      <c r="E79" s="28"/>
      <c r="F79" s="46">
        <f t="shared" ref="F79:R79" si="11">SUM(F80:F87)</f>
        <v>0</v>
      </c>
      <c r="G79" s="46">
        <f t="shared" si="11"/>
        <v>0</v>
      </c>
      <c r="H79" s="46">
        <f t="shared" si="11"/>
        <v>0</v>
      </c>
      <c r="I79" s="46">
        <f t="shared" si="11"/>
        <v>0</v>
      </c>
      <c r="J79" s="46">
        <f t="shared" si="11"/>
        <v>0</v>
      </c>
      <c r="K79" s="46">
        <f t="shared" si="11"/>
        <v>0</v>
      </c>
      <c r="L79" s="46">
        <f t="shared" si="11"/>
        <v>0</v>
      </c>
      <c r="M79" s="46">
        <f t="shared" si="11"/>
        <v>0</v>
      </c>
      <c r="N79" s="46">
        <f t="shared" si="11"/>
        <v>0</v>
      </c>
      <c r="O79" s="46">
        <f t="shared" si="11"/>
        <v>0</v>
      </c>
      <c r="P79" s="46">
        <f t="shared" si="11"/>
        <v>0</v>
      </c>
      <c r="Q79" s="46">
        <f t="shared" si="11"/>
        <v>0</v>
      </c>
      <c r="R79" s="46">
        <f t="shared" si="11"/>
        <v>0</v>
      </c>
    </row>
    <row r="80" spans="1:18" outlineLevel="1" x14ac:dyDescent="0.3">
      <c r="A80" s="34" t="s">
        <v>143</v>
      </c>
      <c r="B80" s="19" t="s">
        <v>144</v>
      </c>
      <c r="C80" s="19" t="s">
        <v>15</v>
      </c>
      <c r="D80" s="20">
        <v>5108110</v>
      </c>
      <c r="E80" s="20" t="s">
        <v>145</v>
      </c>
      <c r="F80" s="21">
        <f t="shared" ref="F80:F87" si="12">SUM(G80:R80)</f>
        <v>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</row>
    <row r="81" spans="1:18" outlineLevel="1" x14ac:dyDescent="0.3">
      <c r="A81" s="34" t="s">
        <v>146</v>
      </c>
      <c r="B81" s="19" t="s">
        <v>144</v>
      </c>
      <c r="C81" s="19" t="s">
        <v>15</v>
      </c>
      <c r="D81" s="20">
        <v>5108120</v>
      </c>
      <c r="E81" s="20" t="s">
        <v>145</v>
      </c>
      <c r="F81" s="21">
        <f t="shared" si="12"/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spans="1:18" outlineLevel="1" x14ac:dyDescent="0.3">
      <c r="A82" s="34" t="s">
        <v>147</v>
      </c>
      <c r="B82" s="19" t="s">
        <v>144</v>
      </c>
      <c r="C82" s="19" t="s">
        <v>15</v>
      </c>
      <c r="D82" s="20">
        <v>5108130</v>
      </c>
      <c r="E82" s="20" t="s">
        <v>145</v>
      </c>
      <c r="F82" s="21">
        <f t="shared" si="12"/>
        <v>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 spans="1:18" outlineLevel="1" x14ac:dyDescent="0.3">
      <c r="A83" s="34" t="s">
        <v>148</v>
      </c>
      <c r="B83" s="19" t="s">
        <v>144</v>
      </c>
      <c r="C83" s="19" t="s">
        <v>15</v>
      </c>
      <c r="D83" s="20">
        <v>5108140</v>
      </c>
      <c r="E83" s="20" t="s">
        <v>145</v>
      </c>
      <c r="F83" s="21">
        <f t="shared" si="12"/>
        <v>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 outlineLevel="1" x14ac:dyDescent="0.3">
      <c r="A84" s="34" t="s">
        <v>149</v>
      </c>
      <c r="B84" s="19" t="s">
        <v>150</v>
      </c>
      <c r="C84" s="19" t="s">
        <v>15</v>
      </c>
      <c r="D84" s="20">
        <v>5108150</v>
      </c>
      <c r="E84" s="20" t="s">
        <v>151</v>
      </c>
      <c r="F84" s="21">
        <f t="shared" si="12"/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 outlineLevel="1" x14ac:dyDescent="0.3">
      <c r="A85" s="34" t="s">
        <v>152</v>
      </c>
      <c r="B85" s="19" t="s">
        <v>144</v>
      </c>
      <c r="C85" s="19" t="s">
        <v>15</v>
      </c>
      <c r="D85" s="20">
        <v>5108160</v>
      </c>
      <c r="E85" s="20" t="s">
        <v>145</v>
      </c>
      <c r="F85" s="21">
        <f t="shared" si="12"/>
        <v>0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 spans="1:18" outlineLevel="1" x14ac:dyDescent="0.3">
      <c r="A86" s="34" t="s">
        <v>153</v>
      </c>
      <c r="B86" s="19" t="s">
        <v>153</v>
      </c>
      <c r="C86" s="19" t="s">
        <v>15</v>
      </c>
      <c r="D86" s="20">
        <v>5108161</v>
      </c>
      <c r="E86" s="20" t="s">
        <v>154</v>
      </c>
      <c r="F86" s="21">
        <f t="shared" si="12"/>
        <v>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 spans="1:18" outlineLevel="1" x14ac:dyDescent="0.3">
      <c r="A87" s="34" t="s">
        <v>155</v>
      </c>
      <c r="B87" s="19" t="s">
        <v>155</v>
      </c>
      <c r="C87" s="19" t="s">
        <v>15</v>
      </c>
      <c r="D87" s="20">
        <v>5108162</v>
      </c>
      <c r="E87" s="20" t="s">
        <v>156</v>
      </c>
      <c r="F87" s="21">
        <f t="shared" si="12"/>
        <v>0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</row>
    <row r="88" spans="1:18" x14ac:dyDescent="0.3">
      <c r="A88" s="26" t="s">
        <v>157</v>
      </c>
      <c r="B88" s="27" t="s">
        <v>7</v>
      </c>
      <c r="C88" s="27"/>
      <c r="D88" s="28"/>
      <c r="E88" s="28"/>
      <c r="F88" s="46">
        <f t="shared" ref="F88" si="13">SUM(F89:F99)</f>
        <v>2963039892</v>
      </c>
      <c r="G88" s="47">
        <f>SUM(G89:G99)</f>
        <v>246919991</v>
      </c>
      <c r="H88" s="47">
        <f t="shared" ref="H88:R88" si="14">SUM(H89:H99)</f>
        <v>246919991</v>
      </c>
      <c r="I88" s="47">
        <f t="shared" si="14"/>
        <v>246919991</v>
      </c>
      <c r="J88" s="47">
        <f t="shared" si="14"/>
        <v>246919991</v>
      </c>
      <c r="K88" s="47">
        <f t="shared" si="14"/>
        <v>246919991</v>
      </c>
      <c r="L88" s="47">
        <f t="shared" si="14"/>
        <v>246919991</v>
      </c>
      <c r="M88" s="47">
        <f t="shared" si="14"/>
        <v>246919991</v>
      </c>
      <c r="N88" s="47">
        <f t="shared" si="14"/>
        <v>246919991</v>
      </c>
      <c r="O88" s="47">
        <f t="shared" si="14"/>
        <v>246919991</v>
      </c>
      <c r="P88" s="47">
        <f t="shared" si="14"/>
        <v>246919991</v>
      </c>
      <c r="Q88" s="47">
        <f t="shared" si="14"/>
        <v>246919991</v>
      </c>
      <c r="R88" s="47">
        <f t="shared" si="14"/>
        <v>246919991</v>
      </c>
    </row>
    <row r="89" spans="1:18" outlineLevel="1" x14ac:dyDescent="0.3">
      <c r="A89" s="34" t="s">
        <v>158</v>
      </c>
      <c r="B89" s="19" t="s">
        <v>159</v>
      </c>
      <c r="C89" s="19" t="s">
        <v>15</v>
      </c>
      <c r="D89" s="20">
        <v>5109110</v>
      </c>
      <c r="E89" s="20" t="s">
        <v>160</v>
      </c>
      <c r="F89" s="21">
        <f t="shared" ref="F89:F99" si="15">SUM(G89:R89)</f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</row>
    <row r="90" spans="1:18" outlineLevel="1" x14ac:dyDescent="0.3">
      <c r="A90" s="34" t="s">
        <v>161</v>
      </c>
      <c r="B90" s="19" t="s">
        <v>159</v>
      </c>
      <c r="C90" s="19" t="s">
        <v>15</v>
      </c>
      <c r="D90" s="20">
        <v>5109120</v>
      </c>
      <c r="E90" s="20" t="s">
        <v>160</v>
      </c>
      <c r="F90" s="21">
        <f t="shared" si="15"/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</row>
    <row r="91" spans="1:18" outlineLevel="1" x14ac:dyDescent="0.3">
      <c r="A91" s="34" t="s">
        <v>162</v>
      </c>
      <c r="B91" s="19" t="s">
        <v>159</v>
      </c>
      <c r="C91" s="19" t="s">
        <v>15</v>
      </c>
      <c r="D91" s="20">
        <v>5109130</v>
      </c>
      <c r="E91" s="20" t="s">
        <v>160</v>
      </c>
      <c r="F91" s="21">
        <f t="shared" si="15"/>
        <v>2918801700</v>
      </c>
      <c r="G91" s="22">
        <v>243233475</v>
      </c>
      <c r="H91" s="22">
        <v>243233475</v>
      </c>
      <c r="I91" s="22">
        <v>243233475</v>
      </c>
      <c r="J91" s="22">
        <v>243233475</v>
      </c>
      <c r="K91" s="22">
        <v>243233475</v>
      </c>
      <c r="L91" s="22">
        <v>243233475</v>
      </c>
      <c r="M91" s="22">
        <v>243233475</v>
      </c>
      <c r="N91" s="22">
        <v>243233475</v>
      </c>
      <c r="O91" s="22">
        <v>243233475</v>
      </c>
      <c r="P91" s="22">
        <v>243233475</v>
      </c>
      <c r="Q91" s="22">
        <v>243233475</v>
      </c>
      <c r="R91" s="22">
        <v>243233475</v>
      </c>
    </row>
    <row r="92" spans="1:18" outlineLevel="1" x14ac:dyDescent="0.3">
      <c r="A92" s="40" t="s">
        <v>163</v>
      </c>
      <c r="B92" s="19" t="s">
        <v>159</v>
      </c>
      <c r="C92" s="19" t="s">
        <v>15</v>
      </c>
      <c r="D92" s="20">
        <v>5109140</v>
      </c>
      <c r="E92" s="20" t="s">
        <v>160</v>
      </c>
      <c r="F92" s="21">
        <f t="shared" si="15"/>
        <v>33979920</v>
      </c>
      <c r="G92" s="22">
        <v>2831660</v>
      </c>
      <c r="H92" s="22">
        <v>2831660</v>
      </c>
      <c r="I92" s="22">
        <v>2831660</v>
      </c>
      <c r="J92" s="22">
        <v>2831660</v>
      </c>
      <c r="K92" s="22">
        <v>2831660</v>
      </c>
      <c r="L92" s="22">
        <v>2831660</v>
      </c>
      <c r="M92" s="22">
        <v>2831660</v>
      </c>
      <c r="N92" s="22">
        <v>2831660</v>
      </c>
      <c r="O92" s="22">
        <v>2831660</v>
      </c>
      <c r="P92" s="22">
        <v>2831660</v>
      </c>
      <c r="Q92" s="22">
        <v>2831660</v>
      </c>
      <c r="R92" s="22">
        <v>2831660</v>
      </c>
    </row>
    <row r="93" spans="1:18" outlineLevel="1" x14ac:dyDescent="0.3">
      <c r="A93" s="34" t="s">
        <v>164</v>
      </c>
      <c r="B93" s="19" t="s">
        <v>159</v>
      </c>
      <c r="C93" s="19" t="s">
        <v>15</v>
      </c>
      <c r="D93" s="20">
        <v>5109150</v>
      </c>
      <c r="E93" s="20" t="s">
        <v>160</v>
      </c>
      <c r="F93" s="21">
        <f t="shared" si="15"/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 outlineLevel="1" x14ac:dyDescent="0.3">
      <c r="A94" s="34" t="s">
        <v>165</v>
      </c>
      <c r="B94" s="19" t="s">
        <v>159</v>
      </c>
      <c r="C94" s="19" t="s">
        <v>15</v>
      </c>
      <c r="D94" s="20">
        <v>5109160</v>
      </c>
      <c r="E94" s="20" t="s">
        <v>160</v>
      </c>
      <c r="F94" s="21">
        <f t="shared" si="15"/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outlineLevel="1" x14ac:dyDescent="0.3">
      <c r="A95" s="34" t="s">
        <v>166</v>
      </c>
      <c r="B95" s="19" t="s">
        <v>159</v>
      </c>
      <c r="C95" s="19" t="s">
        <v>15</v>
      </c>
      <c r="D95" s="20">
        <v>5109170</v>
      </c>
      <c r="E95" s="20" t="s">
        <v>160</v>
      </c>
      <c r="F95" s="21">
        <f t="shared" si="15"/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outlineLevel="1" x14ac:dyDescent="0.3">
      <c r="A96" s="34" t="s">
        <v>167</v>
      </c>
      <c r="B96" s="19" t="s">
        <v>159</v>
      </c>
      <c r="C96" s="19" t="s">
        <v>15</v>
      </c>
      <c r="D96" s="20">
        <v>5109180</v>
      </c>
      <c r="E96" s="20" t="s">
        <v>160</v>
      </c>
      <c r="F96" s="21">
        <f t="shared" si="15"/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outlineLevel="1" x14ac:dyDescent="0.3">
      <c r="A97" s="34" t="s">
        <v>168</v>
      </c>
      <c r="B97" s="19" t="s">
        <v>159</v>
      </c>
      <c r="C97" s="19" t="s">
        <v>15</v>
      </c>
      <c r="D97" s="20">
        <v>5109190</v>
      </c>
      <c r="E97" s="20" t="s">
        <v>160</v>
      </c>
      <c r="F97" s="21">
        <f t="shared" si="15"/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outlineLevel="1" x14ac:dyDescent="0.3">
      <c r="A98" s="34" t="s">
        <v>169</v>
      </c>
      <c r="B98" s="19" t="s">
        <v>159</v>
      </c>
      <c r="C98" s="19" t="s">
        <v>15</v>
      </c>
      <c r="D98" s="20">
        <v>5109210</v>
      </c>
      <c r="E98" s="20" t="s">
        <v>160</v>
      </c>
      <c r="F98" s="21">
        <f t="shared" si="15"/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outlineLevel="1" x14ac:dyDescent="0.3">
      <c r="A99" s="34" t="s">
        <v>170</v>
      </c>
      <c r="B99" s="19" t="s">
        <v>159</v>
      </c>
      <c r="C99" s="19" t="s">
        <v>15</v>
      </c>
      <c r="D99" s="20">
        <v>5109220</v>
      </c>
      <c r="E99" s="20" t="s">
        <v>160</v>
      </c>
      <c r="F99" s="21">
        <f t="shared" si="15"/>
        <v>10258272</v>
      </c>
      <c r="G99" s="22">
        <v>854856</v>
      </c>
      <c r="H99" s="22">
        <v>854856</v>
      </c>
      <c r="I99" s="22">
        <v>854856</v>
      </c>
      <c r="J99" s="22">
        <v>854856</v>
      </c>
      <c r="K99" s="22">
        <v>854856</v>
      </c>
      <c r="L99" s="22">
        <v>854856</v>
      </c>
      <c r="M99" s="22">
        <v>854856</v>
      </c>
      <c r="N99" s="22">
        <v>854856</v>
      </c>
      <c r="O99" s="22">
        <v>854856</v>
      </c>
      <c r="P99" s="22">
        <v>854856</v>
      </c>
      <c r="Q99" s="22">
        <v>854856</v>
      </c>
      <c r="R99" s="22">
        <v>854856</v>
      </c>
    </row>
    <row r="100" spans="1:18" x14ac:dyDescent="0.3">
      <c r="A100" s="26" t="s">
        <v>171</v>
      </c>
      <c r="B100" s="27" t="s">
        <v>7</v>
      </c>
      <c r="C100" s="27"/>
      <c r="D100" s="28"/>
      <c r="E100" s="28"/>
      <c r="F100" s="46">
        <f t="shared" ref="F100" si="16">SUM(F101:F106)</f>
        <v>257100000</v>
      </c>
      <c r="G100" s="47">
        <f>SUM(G101:G106)</f>
        <v>15200000</v>
      </c>
      <c r="H100" s="47">
        <f t="shared" ref="H100:R100" si="17">SUM(H101:H106)</f>
        <v>15200000</v>
      </c>
      <c r="I100" s="47">
        <f t="shared" si="17"/>
        <v>115200000</v>
      </c>
      <c r="J100" s="47">
        <f t="shared" si="17"/>
        <v>18500000</v>
      </c>
      <c r="K100" s="47">
        <f t="shared" si="17"/>
        <v>18500000</v>
      </c>
      <c r="L100" s="47">
        <f t="shared" si="17"/>
        <v>18500000</v>
      </c>
      <c r="M100" s="47">
        <f t="shared" si="17"/>
        <v>8166667</v>
      </c>
      <c r="N100" s="47">
        <f t="shared" si="17"/>
        <v>8166667</v>
      </c>
      <c r="O100" s="47">
        <f t="shared" si="17"/>
        <v>8166666</v>
      </c>
      <c r="P100" s="47">
        <f t="shared" si="17"/>
        <v>10500000</v>
      </c>
      <c r="Q100" s="47">
        <f t="shared" si="17"/>
        <v>10500000</v>
      </c>
      <c r="R100" s="47">
        <f t="shared" si="17"/>
        <v>10500000</v>
      </c>
    </row>
    <row r="101" spans="1:18" outlineLevel="1" x14ac:dyDescent="0.3">
      <c r="A101" s="34" t="s">
        <v>172</v>
      </c>
      <c r="B101" s="19" t="s">
        <v>173</v>
      </c>
      <c r="C101" s="19" t="s">
        <v>15</v>
      </c>
      <c r="D101" s="20">
        <v>5110110</v>
      </c>
      <c r="E101" s="20" t="s">
        <v>174</v>
      </c>
      <c r="F101" s="21">
        <f t="shared" ref="F101:F106" si="18">SUM(G101:R101)</f>
        <v>100000000</v>
      </c>
      <c r="G101" s="21"/>
      <c r="H101" s="21"/>
      <c r="I101" s="21">
        <v>100000000</v>
      </c>
      <c r="J101" s="21"/>
      <c r="K101" s="21"/>
      <c r="L101" s="21"/>
      <c r="M101" s="21"/>
      <c r="N101" s="21"/>
      <c r="O101" s="21"/>
      <c r="P101" s="21"/>
      <c r="Q101" s="21"/>
      <c r="R101" s="21"/>
    </row>
    <row r="102" spans="1:18" outlineLevel="1" x14ac:dyDescent="0.3">
      <c r="A102" s="34" t="s">
        <v>175</v>
      </c>
      <c r="B102" s="19" t="s">
        <v>173</v>
      </c>
      <c r="C102" s="19" t="s">
        <v>15</v>
      </c>
      <c r="D102" s="20">
        <v>5110120</v>
      </c>
      <c r="E102" s="20" t="s">
        <v>174</v>
      </c>
      <c r="F102" s="21">
        <f t="shared" si="18"/>
        <v>0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</row>
    <row r="103" spans="1:18" outlineLevel="1" x14ac:dyDescent="0.3">
      <c r="A103" s="34" t="s">
        <v>176</v>
      </c>
      <c r="B103" s="19" t="s">
        <v>173</v>
      </c>
      <c r="C103" s="19" t="s">
        <v>27</v>
      </c>
      <c r="D103" s="20">
        <v>5110130</v>
      </c>
      <c r="E103" s="20" t="s">
        <v>174</v>
      </c>
      <c r="F103" s="21">
        <f t="shared" si="18"/>
        <v>145100000</v>
      </c>
      <c r="G103" s="21">
        <v>14200000</v>
      </c>
      <c r="H103" s="21">
        <v>14200000</v>
      </c>
      <c r="I103" s="21">
        <v>14200000</v>
      </c>
      <c r="J103" s="21">
        <v>17500000</v>
      </c>
      <c r="K103" s="21">
        <v>17500000</v>
      </c>
      <c r="L103" s="21">
        <v>17500000</v>
      </c>
      <c r="M103" s="21">
        <v>7166667</v>
      </c>
      <c r="N103" s="21">
        <v>7166667</v>
      </c>
      <c r="O103" s="21">
        <v>7166666</v>
      </c>
      <c r="P103" s="21">
        <v>9500000</v>
      </c>
      <c r="Q103" s="21">
        <v>9500000</v>
      </c>
      <c r="R103" s="21">
        <v>9500000</v>
      </c>
    </row>
    <row r="104" spans="1:18" outlineLevel="1" x14ac:dyDescent="0.3">
      <c r="A104" s="34" t="s">
        <v>177</v>
      </c>
      <c r="B104" s="19" t="s">
        <v>173</v>
      </c>
      <c r="C104" s="19" t="s">
        <v>27</v>
      </c>
      <c r="D104" s="20">
        <v>5110140</v>
      </c>
      <c r="E104" s="20" t="s">
        <v>174</v>
      </c>
      <c r="F104" s="21">
        <f t="shared" si="18"/>
        <v>12000000</v>
      </c>
      <c r="G104" s="21">
        <v>1000000</v>
      </c>
      <c r="H104" s="21">
        <v>1000000</v>
      </c>
      <c r="I104" s="21">
        <v>1000000</v>
      </c>
      <c r="J104" s="21">
        <v>1000000</v>
      </c>
      <c r="K104" s="21">
        <v>1000000</v>
      </c>
      <c r="L104" s="21">
        <v>1000000</v>
      </c>
      <c r="M104" s="21">
        <v>1000000</v>
      </c>
      <c r="N104" s="21">
        <v>1000000</v>
      </c>
      <c r="O104" s="21">
        <v>1000000</v>
      </c>
      <c r="P104" s="21">
        <v>1000000</v>
      </c>
      <c r="Q104" s="21">
        <v>1000000</v>
      </c>
      <c r="R104" s="21">
        <v>1000000</v>
      </c>
    </row>
    <row r="105" spans="1:18" outlineLevel="1" x14ac:dyDescent="0.3">
      <c r="A105" s="34" t="s">
        <v>178</v>
      </c>
      <c r="B105" s="19" t="s">
        <v>179</v>
      </c>
      <c r="C105" s="19" t="s">
        <v>15</v>
      </c>
      <c r="D105" s="20">
        <v>5110150</v>
      </c>
      <c r="E105" s="20" t="s">
        <v>180</v>
      </c>
      <c r="F105" s="21">
        <f t="shared" si="18"/>
        <v>0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</row>
    <row r="106" spans="1:18" outlineLevel="1" x14ac:dyDescent="0.3">
      <c r="A106" s="34" t="s">
        <v>181</v>
      </c>
      <c r="B106" s="19" t="s">
        <v>179</v>
      </c>
      <c r="C106" s="19" t="s">
        <v>15</v>
      </c>
      <c r="D106" s="20" t="s">
        <v>182</v>
      </c>
      <c r="E106" s="20"/>
      <c r="F106" s="21">
        <f t="shared" si="18"/>
        <v>0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</row>
    <row r="107" spans="1:18" x14ac:dyDescent="0.3">
      <c r="A107" s="26" t="s">
        <v>183</v>
      </c>
      <c r="B107" s="27" t="s">
        <v>7</v>
      </c>
      <c r="C107" s="27"/>
      <c r="D107" s="28"/>
      <c r="E107" s="28"/>
      <c r="F107" s="46">
        <f t="shared" ref="F107:R107" si="19">SUM(F108:F114)</f>
        <v>0</v>
      </c>
      <c r="G107" s="46">
        <f t="shared" si="19"/>
        <v>0</v>
      </c>
      <c r="H107" s="46">
        <f t="shared" si="19"/>
        <v>0</v>
      </c>
      <c r="I107" s="46">
        <f t="shared" si="19"/>
        <v>0</v>
      </c>
      <c r="J107" s="46">
        <f t="shared" si="19"/>
        <v>0</v>
      </c>
      <c r="K107" s="46">
        <f t="shared" si="19"/>
        <v>0</v>
      </c>
      <c r="L107" s="46">
        <f t="shared" si="19"/>
        <v>0</v>
      </c>
      <c r="M107" s="46">
        <f t="shared" si="19"/>
        <v>0</v>
      </c>
      <c r="N107" s="46">
        <f t="shared" si="19"/>
        <v>0</v>
      </c>
      <c r="O107" s="46">
        <f t="shared" si="19"/>
        <v>0</v>
      </c>
      <c r="P107" s="46">
        <f t="shared" si="19"/>
        <v>0</v>
      </c>
      <c r="Q107" s="46">
        <f t="shared" si="19"/>
        <v>0</v>
      </c>
      <c r="R107" s="46">
        <f t="shared" si="19"/>
        <v>0</v>
      </c>
    </row>
    <row r="108" spans="1:18" outlineLevel="1" x14ac:dyDescent="0.3">
      <c r="A108" s="34" t="s">
        <v>184</v>
      </c>
      <c r="B108" s="19" t="s">
        <v>185</v>
      </c>
      <c r="C108" s="19" t="s">
        <v>15</v>
      </c>
      <c r="D108" s="20">
        <v>5111110</v>
      </c>
      <c r="E108" s="20" t="s">
        <v>186</v>
      </c>
      <c r="F108" s="21">
        <f t="shared" ref="F108:F114" si="20">SUM(G108:R108)</f>
        <v>0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</row>
    <row r="109" spans="1:18" outlineLevel="1" x14ac:dyDescent="0.3">
      <c r="A109" s="34" t="s">
        <v>187</v>
      </c>
      <c r="B109" s="19" t="s">
        <v>185</v>
      </c>
      <c r="C109" s="19" t="s">
        <v>15</v>
      </c>
      <c r="D109" s="20">
        <v>5111120</v>
      </c>
      <c r="E109" s="20" t="s">
        <v>186</v>
      </c>
      <c r="F109" s="21">
        <f t="shared" si="20"/>
        <v>0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</row>
    <row r="110" spans="1:18" outlineLevel="1" x14ac:dyDescent="0.3">
      <c r="A110" s="34" t="s">
        <v>188</v>
      </c>
      <c r="B110" s="19" t="s">
        <v>185</v>
      </c>
      <c r="C110" s="19" t="s">
        <v>15</v>
      </c>
      <c r="D110" s="20">
        <v>5111130</v>
      </c>
      <c r="E110" s="20" t="s">
        <v>186</v>
      </c>
      <c r="F110" s="21">
        <f t="shared" si="20"/>
        <v>0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 spans="1:18" outlineLevel="1" x14ac:dyDescent="0.3">
      <c r="A111" s="34" t="s">
        <v>189</v>
      </c>
      <c r="B111" s="19" t="s">
        <v>185</v>
      </c>
      <c r="C111" s="19" t="s">
        <v>15</v>
      </c>
      <c r="D111" s="20">
        <v>5111140</v>
      </c>
      <c r="E111" s="20" t="s">
        <v>186</v>
      </c>
      <c r="F111" s="21">
        <f t="shared" si="20"/>
        <v>0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spans="1:18" outlineLevel="1" x14ac:dyDescent="0.3">
      <c r="A112" s="34" t="s">
        <v>190</v>
      </c>
      <c r="B112" s="19" t="s">
        <v>185</v>
      </c>
      <c r="C112" s="19" t="s">
        <v>15</v>
      </c>
      <c r="D112" s="20">
        <v>5111150</v>
      </c>
      <c r="E112" s="20" t="s">
        <v>186</v>
      </c>
      <c r="F112" s="21">
        <f t="shared" si="20"/>
        <v>0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</row>
    <row r="113" spans="1:18" outlineLevel="1" x14ac:dyDescent="0.3">
      <c r="A113" s="34" t="s">
        <v>191</v>
      </c>
      <c r="B113" s="19" t="s">
        <v>185</v>
      </c>
      <c r="C113" s="19" t="s">
        <v>15</v>
      </c>
      <c r="D113" s="20">
        <v>5111160</v>
      </c>
      <c r="E113" s="20" t="s">
        <v>186</v>
      </c>
      <c r="F113" s="21">
        <f t="shared" si="20"/>
        <v>0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</row>
    <row r="114" spans="1:18" outlineLevel="1" x14ac:dyDescent="0.3">
      <c r="A114" s="34" t="s">
        <v>192</v>
      </c>
      <c r="B114" s="19" t="s">
        <v>185</v>
      </c>
      <c r="C114" s="19" t="s">
        <v>15</v>
      </c>
      <c r="D114" s="20">
        <v>5111141</v>
      </c>
      <c r="E114" s="20" t="s">
        <v>186</v>
      </c>
      <c r="F114" s="21">
        <f t="shared" si="20"/>
        <v>0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</row>
    <row r="115" spans="1:18" x14ac:dyDescent="0.3">
      <c r="A115" s="26" t="s">
        <v>193</v>
      </c>
      <c r="B115" s="27" t="s">
        <v>7</v>
      </c>
      <c r="C115" s="27"/>
      <c r="D115" s="28"/>
      <c r="E115" s="28"/>
      <c r="F115" s="46">
        <f t="shared" ref="F115:R115" si="21">SUM(F116:F117)</f>
        <v>0</v>
      </c>
      <c r="G115" s="46">
        <f t="shared" si="21"/>
        <v>0</v>
      </c>
      <c r="H115" s="46">
        <f t="shared" si="21"/>
        <v>0</v>
      </c>
      <c r="I115" s="46">
        <f t="shared" si="21"/>
        <v>0</v>
      </c>
      <c r="J115" s="46">
        <f t="shared" si="21"/>
        <v>0</v>
      </c>
      <c r="K115" s="46">
        <f t="shared" si="21"/>
        <v>0</v>
      </c>
      <c r="L115" s="46">
        <f t="shared" si="21"/>
        <v>0</v>
      </c>
      <c r="M115" s="46">
        <f t="shared" si="21"/>
        <v>0</v>
      </c>
      <c r="N115" s="46">
        <f t="shared" si="21"/>
        <v>0</v>
      </c>
      <c r="O115" s="46">
        <f t="shared" si="21"/>
        <v>0</v>
      </c>
      <c r="P115" s="46">
        <f t="shared" si="21"/>
        <v>0</v>
      </c>
      <c r="Q115" s="46">
        <f t="shared" si="21"/>
        <v>0</v>
      </c>
      <c r="R115" s="46">
        <f t="shared" si="21"/>
        <v>0</v>
      </c>
    </row>
    <row r="116" spans="1:18" outlineLevel="1" x14ac:dyDescent="0.3">
      <c r="A116" s="34" t="s">
        <v>194</v>
      </c>
      <c r="B116" s="19" t="s">
        <v>195</v>
      </c>
      <c r="C116" s="19" t="s">
        <v>15</v>
      </c>
      <c r="D116" s="20">
        <v>5112110</v>
      </c>
      <c r="E116" s="20" t="s">
        <v>196</v>
      </c>
      <c r="F116" s="21">
        <f>SUM(G116:R116)</f>
        <v>0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</row>
    <row r="117" spans="1:18" outlineLevel="1" x14ac:dyDescent="0.3">
      <c r="A117" s="34" t="s">
        <v>197</v>
      </c>
      <c r="B117" s="19" t="s">
        <v>197</v>
      </c>
      <c r="C117" s="19" t="s">
        <v>15</v>
      </c>
      <c r="D117" s="20">
        <v>5112120</v>
      </c>
      <c r="E117" s="20" t="s">
        <v>198</v>
      </c>
      <c r="F117" s="21">
        <f>SUM(G117:R117)</f>
        <v>0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 spans="1:18" x14ac:dyDescent="0.3">
      <c r="A118" s="26" t="s">
        <v>199</v>
      </c>
      <c r="B118" s="27" t="s">
        <v>7</v>
      </c>
      <c r="C118" s="27"/>
      <c r="D118" s="28"/>
      <c r="E118" s="28"/>
      <c r="F118" s="46">
        <f t="shared" ref="F118:R118" si="22">SUM(F119:F127)</f>
        <v>0</v>
      </c>
      <c r="G118" s="46">
        <f t="shared" si="22"/>
        <v>0</v>
      </c>
      <c r="H118" s="46">
        <f t="shared" si="22"/>
        <v>0</v>
      </c>
      <c r="I118" s="46">
        <f t="shared" si="22"/>
        <v>0</v>
      </c>
      <c r="J118" s="46">
        <f t="shared" si="22"/>
        <v>0</v>
      </c>
      <c r="K118" s="46">
        <f t="shared" si="22"/>
        <v>0</v>
      </c>
      <c r="L118" s="46">
        <f t="shared" si="22"/>
        <v>0</v>
      </c>
      <c r="M118" s="46">
        <f t="shared" si="22"/>
        <v>0</v>
      </c>
      <c r="N118" s="46">
        <f t="shared" si="22"/>
        <v>0</v>
      </c>
      <c r="O118" s="46">
        <f t="shared" si="22"/>
        <v>0</v>
      </c>
      <c r="P118" s="46">
        <f t="shared" si="22"/>
        <v>0</v>
      </c>
      <c r="Q118" s="46">
        <f t="shared" si="22"/>
        <v>0</v>
      </c>
      <c r="R118" s="46">
        <f t="shared" si="22"/>
        <v>0</v>
      </c>
    </row>
    <row r="119" spans="1:18" outlineLevel="1" x14ac:dyDescent="0.3">
      <c r="A119" s="34" t="s">
        <v>200</v>
      </c>
      <c r="B119" s="19" t="s">
        <v>201</v>
      </c>
      <c r="C119" s="19" t="s">
        <v>27</v>
      </c>
      <c r="D119" s="20">
        <v>5113110</v>
      </c>
      <c r="E119" s="20" t="s">
        <v>202</v>
      </c>
      <c r="F119" s="21">
        <f t="shared" ref="F119:F127" si="23">SUM(G119:R119)</f>
        <v>0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</row>
    <row r="120" spans="1:18" outlineLevel="1" x14ac:dyDescent="0.3">
      <c r="A120" s="34" t="s">
        <v>203</v>
      </c>
      <c r="B120" s="19" t="s">
        <v>204</v>
      </c>
      <c r="C120" s="19" t="s">
        <v>27</v>
      </c>
      <c r="D120" s="20">
        <v>5113120</v>
      </c>
      <c r="E120" s="20" t="s">
        <v>205</v>
      </c>
      <c r="F120" s="21">
        <f t="shared" si="23"/>
        <v>0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</row>
    <row r="121" spans="1:18" outlineLevel="1" x14ac:dyDescent="0.3">
      <c r="A121" s="34" t="s">
        <v>206</v>
      </c>
      <c r="B121" s="19" t="s">
        <v>207</v>
      </c>
      <c r="C121" s="19" t="s">
        <v>27</v>
      </c>
      <c r="D121" s="20">
        <v>5113130</v>
      </c>
      <c r="E121" s="20" t="s">
        <v>208</v>
      </c>
      <c r="F121" s="21">
        <f t="shared" si="23"/>
        <v>0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</row>
    <row r="122" spans="1:18" outlineLevel="1" x14ac:dyDescent="0.3">
      <c r="A122" s="34" t="s">
        <v>209</v>
      </c>
      <c r="B122" s="19" t="s">
        <v>207</v>
      </c>
      <c r="C122" s="19" t="s">
        <v>27</v>
      </c>
      <c r="D122" s="20">
        <v>5113140</v>
      </c>
      <c r="E122" s="20" t="s">
        <v>208</v>
      </c>
      <c r="F122" s="21">
        <f t="shared" si="23"/>
        <v>0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</row>
    <row r="123" spans="1:18" outlineLevel="1" x14ac:dyDescent="0.3">
      <c r="A123" s="34" t="s">
        <v>210</v>
      </c>
      <c r="B123" s="19" t="s">
        <v>211</v>
      </c>
      <c r="C123" s="19" t="s">
        <v>27</v>
      </c>
      <c r="D123" s="20">
        <v>5113150</v>
      </c>
      <c r="E123" s="20" t="s">
        <v>212</v>
      </c>
      <c r="F123" s="21">
        <f t="shared" si="23"/>
        <v>0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</row>
    <row r="124" spans="1:18" outlineLevel="1" x14ac:dyDescent="0.3">
      <c r="A124" s="34" t="s">
        <v>213</v>
      </c>
      <c r="B124" s="19" t="s">
        <v>207</v>
      </c>
      <c r="C124" s="19" t="s">
        <v>27</v>
      </c>
      <c r="D124" s="20"/>
      <c r="E124" s="20" t="s">
        <v>208</v>
      </c>
      <c r="F124" s="21">
        <f t="shared" si="23"/>
        <v>0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</row>
    <row r="125" spans="1:18" outlineLevel="1" x14ac:dyDescent="0.3">
      <c r="A125" s="34" t="s">
        <v>214</v>
      </c>
      <c r="B125" s="19" t="s">
        <v>207</v>
      </c>
      <c r="C125" s="19" t="s">
        <v>27</v>
      </c>
      <c r="D125" s="20">
        <v>5113170</v>
      </c>
      <c r="E125" s="20" t="s">
        <v>208</v>
      </c>
      <c r="F125" s="21">
        <f t="shared" si="23"/>
        <v>0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</row>
    <row r="126" spans="1:18" outlineLevel="1" x14ac:dyDescent="0.3">
      <c r="A126" s="34" t="s">
        <v>215</v>
      </c>
      <c r="B126" s="19" t="s">
        <v>7</v>
      </c>
      <c r="C126" s="19" t="s">
        <v>27</v>
      </c>
      <c r="D126" s="20">
        <v>5113210</v>
      </c>
      <c r="E126" s="20" t="s">
        <v>202</v>
      </c>
      <c r="F126" s="21">
        <f t="shared" si="23"/>
        <v>0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</row>
    <row r="127" spans="1:18" outlineLevel="1" x14ac:dyDescent="0.3">
      <c r="A127" s="34" t="s">
        <v>216</v>
      </c>
      <c r="B127" s="42" t="s">
        <v>217</v>
      </c>
      <c r="C127" s="42" t="s">
        <v>27</v>
      </c>
      <c r="D127" s="20">
        <v>5113160</v>
      </c>
      <c r="E127" s="20" t="s">
        <v>208</v>
      </c>
      <c r="F127" s="21">
        <f t="shared" si="23"/>
        <v>0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</row>
    <row r="128" spans="1:18" x14ac:dyDescent="0.3">
      <c r="A128" s="26" t="s">
        <v>218</v>
      </c>
      <c r="B128" s="27" t="s">
        <v>7</v>
      </c>
      <c r="C128" s="27"/>
      <c r="D128" s="28"/>
      <c r="E128" s="28"/>
      <c r="F128" s="46">
        <f t="shared" ref="F128:R128" si="24">F129</f>
        <v>0</v>
      </c>
      <c r="G128" s="46">
        <f t="shared" si="24"/>
        <v>0</v>
      </c>
      <c r="H128" s="46">
        <f t="shared" si="24"/>
        <v>0</v>
      </c>
      <c r="I128" s="46">
        <f t="shared" si="24"/>
        <v>0</v>
      </c>
      <c r="J128" s="46">
        <f t="shared" si="24"/>
        <v>0</v>
      </c>
      <c r="K128" s="46">
        <f t="shared" si="24"/>
        <v>0</v>
      </c>
      <c r="L128" s="46">
        <f t="shared" si="24"/>
        <v>0</v>
      </c>
      <c r="M128" s="46">
        <f t="shared" si="24"/>
        <v>0</v>
      </c>
      <c r="N128" s="46">
        <f t="shared" si="24"/>
        <v>0</v>
      </c>
      <c r="O128" s="46">
        <f t="shared" si="24"/>
        <v>0</v>
      </c>
      <c r="P128" s="46">
        <f t="shared" si="24"/>
        <v>0</v>
      </c>
      <c r="Q128" s="46">
        <f t="shared" si="24"/>
        <v>0</v>
      </c>
      <c r="R128" s="46">
        <f t="shared" si="24"/>
        <v>0</v>
      </c>
    </row>
    <row r="129" spans="1:18" outlineLevel="1" x14ac:dyDescent="0.3">
      <c r="A129" s="34" t="s">
        <v>219</v>
      </c>
      <c r="B129" s="19" t="s">
        <v>220</v>
      </c>
      <c r="C129" s="19" t="s">
        <v>15</v>
      </c>
      <c r="D129" s="20">
        <v>5115110</v>
      </c>
      <c r="E129" s="20" t="s">
        <v>221</v>
      </c>
      <c r="F129" s="21">
        <f>SUM(G129:R129)</f>
        <v>0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</row>
    <row r="130" spans="1:18" x14ac:dyDescent="0.3">
      <c r="A130" s="26" t="s">
        <v>222</v>
      </c>
      <c r="B130" s="27" t="s">
        <v>7</v>
      </c>
      <c r="C130" s="27"/>
      <c r="D130" s="28"/>
      <c r="E130" s="28"/>
      <c r="F130" s="46">
        <f t="shared" ref="F130:R130" si="25">SUM(F131:F137)</f>
        <v>0</v>
      </c>
      <c r="G130" s="46">
        <f t="shared" si="25"/>
        <v>0</v>
      </c>
      <c r="H130" s="46">
        <f t="shared" si="25"/>
        <v>0</v>
      </c>
      <c r="I130" s="46">
        <f t="shared" si="25"/>
        <v>0</v>
      </c>
      <c r="J130" s="46">
        <f t="shared" si="25"/>
        <v>0</v>
      </c>
      <c r="K130" s="46">
        <f t="shared" si="25"/>
        <v>0</v>
      </c>
      <c r="L130" s="46">
        <f t="shared" si="25"/>
        <v>0</v>
      </c>
      <c r="M130" s="46">
        <f t="shared" si="25"/>
        <v>0</v>
      </c>
      <c r="N130" s="46">
        <f t="shared" si="25"/>
        <v>0</v>
      </c>
      <c r="O130" s="46">
        <f t="shared" si="25"/>
        <v>0</v>
      </c>
      <c r="P130" s="46">
        <f t="shared" si="25"/>
        <v>0</v>
      </c>
      <c r="Q130" s="46">
        <f t="shared" si="25"/>
        <v>0</v>
      </c>
      <c r="R130" s="46">
        <f t="shared" si="25"/>
        <v>0</v>
      </c>
    </row>
    <row r="131" spans="1:18" outlineLevel="1" x14ac:dyDescent="0.3">
      <c r="A131" s="34" t="s">
        <v>223</v>
      </c>
      <c r="B131" s="19" t="s">
        <v>224</v>
      </c>
      <c r="C131" s="19" t="s">
        <v>15</v>
      </c>
      <c r="D131" s="20">
        <v>5116110</v>
      </c>
      <c r="E131" s="20" t="s">
        <v>225</v>
      </c>
      <c r="F131" s="21">
        <f t="shared" ref="F131:F137" si="26">SUM(G131:R131)</f>
        <v>0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</row>
    <row r="132" spans="1:18" outlineLevel="1" x14ac:dyDescent="0.3">
      <c r="A132" s="34" t="s">
        <v>226</v>
      </c>
      <c r="B132" s="19" t="s">
        <v>224</v>
      </c>
      <c r="C132" s="19" t="s">
        <v>15</v>
      </c>
      <c r="D132" s="20">
        <v>5116120</v>
      </c>
      <c r="E132" s="20" t="s">
        <v>225</v>
      </c>
      <c r="F132" s="21">
        <f t="shared" si="26"/>
        <v>0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</row>
    <row r="133" spans="1:18" outlineLevel="1" x14ac:dyDescent="0.3">
      <c r="A133" s="34" t="s">
        <v>227</v>
      </c>
      <c r="B133" s="19" t="s">
        <v>228</v>
      </c>
      <c r="C133" s="19" t="s">
        <v>15</v>
      </c>
      <c r="D133" s="20">
        <v>5116130</v>
      </c>
      <c r="E133" s="20" t="s">
        <v>229</v>
      </c>
      <c r="F133" s="21">
        <f t="shared" si="26"/>
        <v>0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</row>
    <row r="134" spans="1:18" outlineLevel="1" x14ac:dyDescent="0.3">
      <c r="A134" s="34" t="s">
        <v>230</v>
      </c>
      <c r="B134" s="19" t="s">
        <v>224</v>
      </c>
      <c r="C134" s="19" t="s">
        <v>15</v>
      </c>
      <c r="D134" s="20">
        <v>5116140</v>
      </c>
      <c r="E134" s="20" t="s">
        <v>225</v>
      </c>
      <c r="F134" s="21">
        <f t="shared" si="26"/>
        <v>0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</row>
    <row r="135" spans="1:18" outlineLevel="1" x14ac:dyDescent="0.3">
      <c r="A135" s="34" t="s">
        <v>231</v>
      </c>
      <c r="B135" s="19" t="s">
        <v>228</v>
      </c>
      <c r="C135" s="19" t="s">
        <v>15</v>
      </c>
      <c r="D135" s="20">
        <v>5116150</v>
      </c>
      <c r="E135" s="20" t="s">
        <v>229</v>
      </c>
      <c r="F135" s="21">
        <f t="shared" si="26"/>
        <v>0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</row>
    <row r="136" spans="1:18" outlineLevel="1" x14ac:dyDescent="0.3">
      <c r="A136" s="34" t="s">
        <v>232</v>
      </c>
      <c r="B136" s="19" t="s">
        <v>224</v>
      </c>
      <c r="C136" s="19" t="s">
        <v>15</v>
      </c>
      <c r="D136" s="20">
        <v>5116160</v>
      </c>
      <c r="E136" s="20" t="s">
        <v>225</v>
      </c>
      <c r="F136" s="21">
        <f t="shared" si="26"/>
        <v>0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</row>
    <row r="137" spans="1:18" outlineLevel="1" x14ac:dyDescent="0.3">
      <c r="A137" s="34" t="s">
        <v>233</v>
      </c>
      <c r="B137" s="19" t="s">
        <v>224</v>
      </c>
      <c r="C137" s="19" t="s">
        <v>15</v>
      </c>
      <c r="D137" s="20">
        <v>5116111</v>
      </c>
      <c r="E137" s="20" t="s">
        <v>225</v>
      </c>
      <c r="F137" s="21">
        <f t="shared" si="26"/>
        <v>0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</row>
    <row r="138" spans="1:18" x14ac:dyDescent="0.3">
      <c r="A138" s="26" t="s">
        <v>234</v>
      </c>
      <c r="B138" s="27" t="s">
        <v>7</v>
      </c>
      <c r="C138" s="27"/>
      <c r="D138" s="28"/>
      <c r="E138" s="28"/>
      <c r="F138" s="46">
        <f t="shared" ref="F138:R138" si="27">F139</f>
        <v>0</v>
      </c>
      <c r="G138" s="46">
        <f t="shared" si="27"/>
        <v>0</v>
      </c>
      <c r="H138" s="46">
        <f t="shared" si="27"/>
        <v>0</v>
      </c>
      <c r="I138" s="46">
        <f t="shared" si="27"/>
        <v>0</v>
      </c>
      <c r="J138" s="46">
        <f t="shared" si="27"/>
        <v>0</v>
      </c>
      <c r="K138" s="46">
        <f t="shared" si="27"/>
        <v>0</v>
      </c>
      <c r="L138" s="46">
        <f t="shared" si="27"/>
        <v>0</v>
      </c>
      <c r="M138" s="46">
        <f t="shared" si="27"/>
        <v>0</v>
      </c>
      <c r="N138" s="46">
        <f t="shared" si="27"/>
        <v>0</v>
      </c>
      <c r="O138" s="46">
        <f t="shared" si="27"/>
        <v>0</v>
      </c>
      <c r="P138" s="46">
        <f t="shared" si="27"/>
        <v>0</v>
      </c>
      <c r="Q138" s="46">
        <f t="shared" si="27"/>
        <v>0</v>
      </c>
      <c r="R138" s="46">
        <f t="shared" si="27"/>
        <v>0</v>
      </c>
    </row>
    <row r="139" spans="1:18" outlineLevel="1" x14ac:dyDescent="0.3">
      <c r="A139" s="34" t="s">
        <v>235</v>
      </c>
      <c r="B139" s="19" t="s">
        <v>236</v>
      </c>
      <c r="C139" s="19" t="s">
        <v>15</v>
      </c>
      <c r="D139" s="20">
        <v>5117110</v>
      </c>
      <c r="E139" s="20" t="s">
        <v>237</v>
      </c>
      <c r="F139" s="21">
        <f>SUM(G139:R139)</f>
        <v>0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</row>
    <row r="140" spans="1:18" x14ac:dyDescent="0.3">
      <c r="A140" s="26" t="s">
        <v>238</v>
      </c>
      <c r="B140" s="27" t="s">
        <v>7</v>
      </c>
      <c r="C140" s="27"/>
      <c r="D140" s="28"/>
      <c r="E140" s="28"/>
      <c r="F140" s="46">
        <f t="shared" ref="F140:R140" si="28">SUM(F141:F145)</f>
        <v>1200000</v>
      </c>
      <c r="G140" s="46">
        <f t="shared" si="28"/>
        <v>100000</v>
      </c>
      <c r="H140" s="46">
        <f t="shared" si="28"/>
        <v>100000</v>
      </c>
      <c r="I140" s="46">
        <f t="shared" si="28"/>
        <v>100000</v>
      </c>
      <c r="J140" s="46">
        <f t="shared" si="28"/>
        <v>100000</v>
      </c>
      <c r="K140" s="46">
        <f t="shared" si="28"/>
        <v>100000</v>
      </c>
      <c r="L140" s="46">
        <f t="shared" si="28"/>
        <v>100000</v>
      </c>
      <c r="M140" s="46">
        <f t="shared" si="28"/>
        <v>100000</v>
      </c>
      <c r="N140" s="46">
        <f t="shared" si="28"/>
        <v>100000</v>
      </c>
      <c r="O140" s="46">
        <f t="shared" si="28"/>
        <v>100000</v>
      </c>
      <c r="P140" s="46">
        <f t="shared" si="28"/>
        <v>100000</v>
      </c>
      <c r="Q140" s="46">
        <f t="shared" si="28"/>
        <v>100000</v>
      </c>
      <c r="R140" s="46">
        <f t="shared" si="28"/>
        <v>100000</v>
      </c>
    </row>
    <row r="141" spans="1:18" outlineLevel="1" x14ac:dyDescent="0.3">
      <c r="A141" s="34" t="s">
        <v>239</v>
      </c>
      <c r="B141" s="19" t="s">
        <v>240</v>
      </c>
      <c r="C141" s="19" t="s">
        <v>15</v>
      </c>
      <c r="D141" s="20">
        <v>5118110</v>
      </c>
      <c r="E141" s="20" t="s">
        <v>241</v>
      </c>
      <c r="F141" s="21">
        <f>SUM(G141:R141)</f>
        <v>0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</row>
    <row r="142" spans="1:18" outlineLevel="1" x14ac:dyDescent="0.3">
      <c r="A142" s="34" t="s">
        <v>242</v>
      </c>
      <c r="B142" s="19" t="s">
        <v>243</v>
      </c>
      <c r="C142" s="19" t="s">
        <v>15</v>
      </c>
      <c r="D142" s="20">
        <v>5118120</v>
      </c>
      <c r="E142" s="20" t="s">
        <v>244</v>
      </c>
      <c r="F142" s="21">
        <f>SUM(G142:R142)</f>
        <v>0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</row>
    <row r="143" spans="1:18" outlineLevel="1" x14ac:dyDescent="0.3">
      <c r="A143" s="34" t="s">
        <v>245</v>
      </c>
      <c r="B143" s="19" t="s">
        <v>246</v>
      </c>
      <c r="C143" s="19" t="s">
        <v>15</v>
      </c>
      <c r="D143" s="20">
        <v>5118130</v>
      </c>
      <c r="E143" s="20" t="s">
        <v>247</v>
      </c>
      <c r="F143" s="21">
        <f>SUM(G143:R143)</f>
        <v>1200000</v>
      </c>
      <c r="G143" s="21">
        <v>100000</v>
      </c>
      <c r="H143" s="21">
        <v>100000</v>
      </c>
      <c r="I143" s="21">
        <v>100000</v>
      </c>
      <c r="J143" s="21">
        <v>100000</v>
      </c>
      <c r="K143" s="21">
        <v>100000</v>
      </c>
      <c r="L143" s="21">
        <v>100000</v>
      </c>
      <c r="M143" s="21">
        <v>100000</v>
      </c>
      <c r="N143" s="21">
        <v>100000</v>
      </c>
      <c r="O143" s="21">
        <v>100000</v>
      </c>
      <c r="P143" s="21">
        <v>100000</v>
      </c>
      <c r="Q143" s="21">
        <v>100000</v>
      </c>
      <c r="R143" s="21">
        <v>100000</v>
      </c>
    </row>
    <row r="144" spans="1:18" outlineLevel="1" x14ac:dyDescent="0.3">
      <c r="A144" s="34" t="s">
        <v>248</v>
      </c>
      <c r="B144" s="19" t="s">
        <v>7</v>
      </c>
      <c r="C144" s="19" t="s">
        <v>15</v>
      </c>
      <c r="D144" s="20">
        <v>5118140</v>
      </c>
      <c r="E144" s="20" t="s">
        <v>249</v>
      </c>
      <c r="F144" s="21">
        <f>SUM(G144:R144)</f>
        <v>0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</row>
    <row r="145" spans="1:18" outlineLevel="1" x14ac:dyDescent="0.3">
      <c r="A145" s="34" t="s">
        <v>250</v>
      </c>
      <c r="B145" s="19" t="s">
        <v>7</v>
      </c>
      <c r="C145" s="19" t="s">
        <v>15</v>
      </c>
      <c r="D145" s="20">
        <v>5118150</v>
      </c>
      <c r="E145" s="20" t="s">
        <v>251</v>
      </c>
      <c r="F145" s="21">
        <f>SUM(G145:R145)</f>
        <v>0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</row>
    <row r="146" spans="1:18" x14ac:dyDescent="0.3">
      <c r="A146" s="26" t="s">
        <v>252</v>
      </c>
      <c r="B146" s="27" t="s">
        <v>7</v>
      </c>
      <c r="C146" s="27"/>
      <c r="D146" s="28"/>
      <c r="E146" s="28"/>
      <c r="F146" s="46">
        <f t="shared" ref="F146:R146" si="29">SUM(F147:F148)</f>
        <v>864000</v>
      </c>
      <c r="G146" s="46">
        <f t="shared" si="29"/>
        <v>72000</v>
      </c>
      <c r="H146" s="46">
        <f t="shared" si="29"/>
        <v>72000</v>
      </c>
      <c r="I146" s="46">
        <f t="shared" si="29"/>
        <v>72000</v>
      </c>
      <c r="J146" s="46">
        <f t="shared" si="29"/>
        <v>72000</v>
      </c>
      <c r="K146" s="46">
        <f t="shared" si="29"/>
        <v>72000</v>
      </c>
      <c r="L146" s="46">
        <f t="shared" si="29"/>
        <v>72000</v>
      </c>
      <c r="M146" s="46">
        <f t="shared" si="29"/>
        <v>72000</v>
      </c>
      <c r="N146" s="46">
        <f t="shared" si="29"/>
        <v>72000</v>
      </c>
      <c r="O146" s="46">
        <f t="shared" si="29"/>
        <v>72000</v>
      </c>
      <c r="P146" s="46">
        <f t="shared" si="29"/>
        <v>72000</v>
      </c>
      <c r="Q146" s="46">
        <f t="shared" si="29"/>
        <v>72000</v>
      </c>
      <c r="R146" s="46">
        <f t="shared" si="29"/>
        <v>72000</v>
      </c>
    </row>
    <row r="147" spans="1:18" outlineLevel="1" x14ac:dyDescent="0.3">
      <c r="A147" s="34" t="s">
        <v>253</v>
      </c>
      <c r="B147" s="19" t="s">
        <v>254</v>
      </c>
      <c r="C147" s="19" t="s">
        <v>15</v>
      </c>
      <c r="D147" s="20">
        <v>5130110</v>
      </c>
      <c r="E147" s="20" t="s">
        <v>249</v>
      </c>
      <c r="F147" s="21">
        <f>SUM(G147:R147)</f>
        <v>0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</row>
    <row r="148" spans="1:18" outlineLevel="1" x14ac:dyDescent="0.3">
      <c r="A148" s="34" t="s">
        <v>255</v>
      </c>
      <c r="B148" s="19" t="s">
        <v>256</v>
      </c>
      <c r="C148" s="19" t="s">
        <v>15</v>
      </c>
      <c r="D148" s="20">
        <v>5130120</v>
      </c>
      <c r="E148" s="20" t="s">
        <v>251</v>
      </c>
      <c r="F148" s="21">
        <f>SUM(G148:R148)</f>
        <v>864000</v>
      </c>
      <c r="G148" s="21">
        <v>72000</v>
      </c>
      <c r="H148" s="21">
        <v>72000</v>
      </c>
      <c r="I148" s="21">
        <v>72000</v>
      </c>
      <c r="J148" s="21">
        <v>72000</v>
      </c>
      <c r="K148" s="21">
        <v>72000</v>
      </c>
      <c r="L148" s="21">
        <v>72000</v>
      </c>
      <c r="M148" s="21">
        <v>72000</v>
      </c>
      <c r="N148" s="21">
        <v>72000</v>
      </c>
      <c r="O148" s="21">
        <v>72000</v>
      </c>
      <c r="P148" s="21">
        <v>72000</v>
      </c>
      <c r="Q148" s="21">
        <v>72000</v>
      </c>
      <c r="R148" s="21">
        <v>72000</v>
      </c>
    </row>
    <row r="149" spans="1:18" x14ac:dyDescent="0.3">
      <c r="A149" s="26" t="s">
        <v>257</v>
      </c>
      <c r="B149" s="27" t="s">
        <v>7</v>
      </c>
      <c r="C149" s="27"/>
      <c r="D149" s="28"/>
      <c r="E149" s="28"/>
      <c r="F149" s="46">
        <f t="shared" ref="F149:R149" si="30">SUM(F150:F157)</f>
        <v>2000000</v>
      </c>
      <c r="G149" s="46">
        <f t="shared" si="30"/>
        <v>200000</v>
      </c>
      <c r="H149" s="46">
        <f t="shared" si="30"/>
        <v>200000</v>
      </c>
      <c r="I149" s="46">
        <f t="shared" si="30"/>
        <v>100000</v>
      </c>
      <c r="J149" s="46">
        <f t="shared" si="30"/>
        <v>200000</v>
      </c>
      <c r="K149" s="46">
        <f t="shared" si="30"/>
        <v>200000</v>
      </c>
      <c r="L149" s="46">
        <f t="shared" si="30"/>
        <v>100000</v>
      </c>
      <c r="M149" s="46">
        <f t="shared" si="30"/>
        <v>200000</v>
      </c>
      <c r="N149" s="46">
        <f t="shared" si="30"/>
        <v>200000</v>
      </c>
      <c r="O149" s="46">
        <f t="shared" si="30"/>
        <v>100000</v>
      </c>
      <c r="P149" s="46">
        <f t="shared" si="30"/>
        <v>200000</v>
      </c>
      <c r="Q149" s="46">
        <f t="shared" si="30"/>
        <v>200000</v>
      </c>
      <c r="R149" s="46">
        <f t="shared" si="30"/>
        <v>100000</v>
      </c>
    </row>
    <row r="150" spans="1:18" outlineLevel="1" x14ac:dyDescent="0.3">
      <c r="A150" s="34" t="s">
        <v>258</v>
      </c>
      <c r="B150" s="19" t="s">
        <v>259</v>
      </c>
      <c r="C150" s="19" t="s">
        <v>15</v>
      </c>
      <c r="D150" s="20">
        <v>5119110</v>
      </c>
      <c r="E150" s="20" t="s">
        <v>260</v>
      </c>
      <c r="F150" s="21">
        <f t="shared" ref="F150:F157" si="31">SUM(G150:R150)</f>
        <v>0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</row>
    <row r="151" spans="1:18" outlineLevel="1" x14ac:dyDescent="0.3">
      <c r="A151" s="34" t="s">
        <v>261</v>
      </c>
      <c r="B151" s="19" t="s">
        <v>262</v>
      </c>
      <c r="C151" s="19" t="s">
        <v>15</v>
      </c>
      <c r="D151" s="20">
        <v>5119120</v>
      </c>
      <c r="E151" s="20" t="s">
        <v>263</v>
      </c>
      <c r="F151" s="21">
        <f t="shared" si="31"/>
        <v>0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</row>
    <row r="152" spans="1:18" outlineLevel="1" x14ac:dyDescent="0.3">
      <c r="A152" s="34" t="s">
        <v>264</v>
      </c>
      <c r="B152" s="19" t="s">
        <v>265</v>
      </c>
      <c r="C152" s="19" t="s">
        <v>15</v>
      </c>
      <c r="D152" s="20">
        <v>5119130</v>
      </c>
      <c r="E152" s="20" t="s">
        <v>266</v>
      </c>
      <c r="F152" s="21">
        <f t="shared" si="31"/>
        <v>0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</row>
    <row r="153" spans="1:18" outlineLevel="1" x14ac:dyDescent="0.3">
      <c r="A153" s="34" t="s">
        <v>267</v>
      </c>
      <c r="B153" s="19" t="s">
        <v>268</v>
      </c>
      <c r="C153" s="19" t="s">
        <v>15</v>
      </c>
      <c r="D153" s="20">
        <v>5119140</v>
      </c>
      <c r="E153" s="20" t="s">
        <v>269</v>
      </c>
      <c r="F153" s="21">
        <f t="shared" si="31"/>
        <v>0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</row>
    <row r="154" spans="1:18" outlineLevel="1" x14ac:dyDescent="0.3">
      <c r="A154" s="34" t="s">
        <v>270</v>
      </c>
      <c r="B154" s="19" t="s">
        <v>271</v>
      </c>
      <c r="C154" s="19" t="s">
        <v>15</v>
      </c>
      <c r="D154" s="20">
        <v>5119150</v>
      </c>
      <c r="E154" s="20" t="s">
        <v>272</v>
      </c>
      <c r="F154" s="21">
        <f t="shared" si="31"/>
        <v>2000000</v>
      </c>
      <c r="G154" s="21">
        <v>200000</v>
      </c>
      <c r="H154" s="21">
        <v>200000</v>
      </c>
      <c r="I154" s="21">
        <v>100000</v>
      </c>
      <c r="J154" s="21">
        <v>200000</v>
      </c>
      <c r="K154" s="21">
        <v>200000</v>
      </c>
      <c r="L154" s="21">
        <v>100000</v>
      </c>
      <c r="M154" s="21">
        <v>200000</v>
      </c>
      <c r="N154" s="21">
        <v>200000</v>
      </c>
      <c r="O154" s="21">
        <v>100000</v>
      </c>
      <c r="P154" s="21">
        <v>200000</v>
      </c>
      <c r="Q154" s="21">
        <v>200000</v>
      </c>
      <c r="R154" s="21">
        <v>100000</v>
      </c>
    </row>
    <row r="155" spans="1:18" outlineLevel="1" x14ac:dyDescent="0.3">
      <c r="A155" s="34" t="s">
        <v>273</v>
      </c>
      <c r="B155" s="19" t="s">
        <v>274</v>
      </c>
      <c r="C155" s="19" t="s">
        <v>15</v>
      </c>
      <c r="D155" s="20">
        <v>5119160</v>
      </c>
      <c r="E155" s="20" t="s">
        <v>275</v>
      </c>
      <c r="F155" s="21">
        <f t="shared" si="31"/>
        <v>0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</row>
    <row r="156" spans="1:18" outlineLevel="1" x14ac:dyDescent="0.3">
      <c r="A156" s="34" t="s">
        <v>276</v>
      </c>
      <c r="B156" s="19" t="s">
        <v>276</v>
      </c>
      <c r="C156" s="19" t="s">
        <v>15</v>
      </c>
      <c r="D156" s="20">
        <v>5119121</v>
      </c>
      <c r="E156" s="20" t="s">
        <v>277</v>
      </c>
      <c r="F156" s="21">
        <f t="shared" si="31"/>
        <v>0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</row>
    <row r="157" spans="1:18" outlineLevel="1" x14ac:dyDescent="0.3">
      <c r="A157" s="34" t="s">
        <v>278</v>
      </c>
      <c r="B157" s="42" t="s">
        <v>279</v>
      </c>
      <c r="C157" s="42" t="s">
        <v>15</v>
      </c>
      <c r="D157" s="20">
        <v>5119151</v>
      </c>
      <c r="E157" s="20" t="s">
        <v>272</v>
      </c>
      <c r="F157" s="21">
        <f t="shared" si="31"/>
        <v>0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</row>
    <row r="158" spans="1:18" x14ac:dyDescent="0.3">
      <c r="A158" s="26" t="s">
        <v>280</v>
      </c>
      <c r="B158" s="27" t="s">
        <v>7</v>
      </c>
      <c r="C158" s="27"/>
      <c r="D158" s="28"/>
      <c r="E158" s="28"/>
      <c r="F158" s="46">
        <f t="shared" ref="F158:R158" si="32">SUM(F159:F162)</f>
        <v>302000000</v>
      </c>
      <c r="G158" s="46">
        <f t="shared" si="32"/>
        <v>27000000</v>
      </c>
      <c r="H158" s="46">
        <f t="shared" si="32"/>
        <v>37000000</v>
      </c>
      <c r="I158" s="46">
        <f t="shared" si="32"/>
        <v>37000000</v>
      </c>
      <c r="J158" s="46">
        <f t="shared" si="32"/>
        <v>17000000</v>
      </c>
      <c r="K158" s="46">
        <f t="shared" si="32"/>
        <v>27000000</v>
      </c>
      <c r="L158" s="46">
        <f t="shared" si="32"/>
        <v>27000000</v>
      </c>
      <c r="M158" s="46">
        <f t="shared" si="32"/>
        <v>28000000</v>
      </c>
      <c r="N158" s="46">
        <f t="shared" si="32"/>
        <v>18000000</v>
      </c>
      <c r="O158" s="46">
        <f t="shared" si="32"/>
        <v>28000000</v>
      </c>
      <c r="P158" s="46">
        <f t="shared" si="32"/>
        <v>12000000</v>
      </c>
      <c r="Q158" s="46">
        <f t="shared" si="32"/>
        <v>22000000</v>
      </c>
      <c r="R158" s="46">
        <f t="shared" si="32"/>
        <v>22000000</v>
      </c>
    </row>
    <row r="159" spans="1:18" outlineLevel="1" x14ac:dyDescent="0.3">
      <c r="A159" s="34" t="s">
        <v>281</v>
      </c>
      <c r="B159" s="19" t="s">
        <v>282</v>
      </c>
      <c r="C159" s="19" t="s">
        <v>27</v>
      </c>
      <c r="D159" s="20">
        <v>5120110</v>
      </c>
      <c r="E159" s="20" t="s">
        <v>283</v>
      </c>
      <c r="F159" s="21">
        <f>SUM(G159:R159)</f>
        <v>24000000</v>
      </c>
      <c r="G159" s="21">
        <v>2000000</v>
      </c>
      <c r="H159" s="21">
        <v>2000000</v>
      </c>
      <c r="I159" s="21">
        <v>2000000</v>
      </c>
      <c r="J159" s="21">
        <v>2000000</v>
      </c>
      <c r="K159" s="21">
        <v>2000000</v>
      </c>
      <c r="L159" s="21">
        <v>2000000</v>
      </c>
      <c r="M159" s="21">
        <v>2000000</v>
      </c>
      <c r="N159" s="21">
        <v>2000000</v>
      </c>
      <c r="O159" s="21">
        <v>2000000</v>
      </c>
      <c r="P159" s="21">
        <v>2000000</v>
      </c>
      <c r="Q159" s="21">
        <v>2000000</v>
      </c>
      <c r="R159" s="21">
        <v>2000000</v>
      </c>
    </row>
    <row r="160" spans="1:18" outlineLevel="1" x14ac:dyDescent="0.3">
      <c r="A160" s="40" t="s">
        <v>284</v>
      </c>
      <c r="B160" s="19" t="s">
        <v>282</v>
      </c>
      <c r="C160" s="19" t="s">
        <v>27</v>
      </c>
      <c r="D160" s="20">
        <v>5120140</v>
      </c>
      <c r="E160" s="20" t="s">
        <v>283</v>
      </c>
      <c r="F160" s="21">
        <f>SUM(G160:R160)</f>
        <v>0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</row>
    <row r="161" spans="1:18" outlineLevel="1" x14ac:dyDescent="0.3">
      <c r="A161" s="40" t="s">
        <v>285</v>
      </c>
      <c r="B161" s="19" t="s">
        <v>282</v>
      </c>
      <c r="C161" s="19" t="s">
        <v>27</v>
      </c>
      <c r="D161" s="20">
        <v>5120130</v>
      </c>
      <c r="E161" s="20" t="s">
        <v>283</v>
      </c>
      <c r="F161" s="21">
        <f>SUM(G161:R161)</f>
        <v>0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</row>
    <row r="162" spans="1:18" outlineLevel="1" x14ac:dyDescent="0.3">
      <c r="A162" s="34" t="s">
        <v>286</v>
      </c>
      <c r="B162" s="19" t="s">
        <v>282</v>
      </c>
      <c r="C162" s="19" t="s">
        <v>27</v>
      </c>
      <c r="D162" s="20">
        <v>5120120</v>
      </c>
      <c r="E162" s="20" t="s">
        <v>283</v>
      </c>
      <c r="F162" s="21">
        <f>SUM(G162:R162)</f>
        <v>278000000</v>
      </c>
      <c r="G162" s="91">
        <f>35000000-10000000</f>
        <v>25000000</v>
      </c>
      <c r="H162" s="21">
        <v>35000000</v>
      </c>
      <c r="I162" s="21">
        <v>35000000</v>
      </c>
      <c r="J162" s="91">
        <f>25000000-10000000</f>
        <v>15000000</v>
      </c>
      <c r="K162" s="21">
        <v>25000000</v>
      </c>
      <c r="L162" s="21">
        <v>25000000</v>
      </c>
      <c r="M162" s="21">
        <v>26000000</v>
      </c>
      <c r="N162" s="91">
        <f>26000000-10000000</f>
        <v>16000000</v>
      </c>
      <c r="O162" s="21">
        <v>26000000</v>
      </c>
      <c r="P162" s="91">
        <f>20000000-10000000</f>
        <v>10000000</v>
      </c>
      <c r="Q162" s="21">
        <v>20000000</v>
      </c>
      <c r="R162" s="21">
        <v>20000000</v>
      </c>
    </row>
    <row r="163" spans="1:18" x14ac:dyDescent="0.3">
      <c r="A163" s="26" t="s">
        <v>287</v>
      </c>
      <c r="B163" s="27" t="s">
        <v>7</v>
      </c>
      <c r="C163" s="27"/>
      <c r="D163" s="28"/>
      <c r="E163" s="28"/>
      <c r="F163" s="46">
        <f t="shared" ref="F163:R163" si="33">SUM(F164:F167)</f>
        <v>0</v>
      </c>
      <c r="G163" s="46">
        <f t="shared" si="33"/>
        <v>0</v>
      </c>
      <c r="H163" s="46">
        <f t="shared" si="33"/>
        <v>0</v>
      </c>
      <c r="I163" s="46">
        <f t="shared" si="33"/>
        <v>0</v>
      </c>
      <c r="J163" s="46">
        <f t="shared" si="33"/>
        <v>0</v>
      </c>
      <c r="K163" s="46">
        <f t="shared" si="33"/>
        <v>0</v>
      </c>
      <c r="L163" s="46">
        <f t="shared" si="33"/>
        <v>0</v>
      </c>
      <c r="M163" s="46">
        <f t="shared" si="33"/>
        <v>0</v>
      </c>
      <c r="N163" s="46">
        <f t="shared" si="33"/>
        <v>0</v>
      </c>
      <c r="O163" s="46">
        <f t="shared" si="33"/>
        <v>0</v>
      </c>
      <c r="P163" s="46">
        <f t="shared" si="33"/>
        <v>0</v>
      </c>
      <c r="Q163" s="46">
        <f t="shared" si="33"/>
        <v>0</v>
      </c>
      <c r="R163" s="46">
        <f t="shared" si="33"/>
        <v>0</v>
      </c>
    </row>
    <row r="164" spans="1:18" outlineLevel="1" x14ac:dyDescent="0.3">
      <c r="A164" s="34" t="s">
        <v>288</v>
      </c>
      <c r="B164" s="19" t="s">
        <v>288</v>
      </c>
      <c r="C164" s="19" t="s">
        <v>15</v>
      </c>
      <c r="D164" s="20">
        <v>5121110</v>
      </c>
      <c r="E164" s="20" t="s">
        <v>289</v>
      </c>
      <c r="F164" s="21">
        <f>SUM(G164:R164)</f>
        <v>0</v>
      </c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</row>
    <row r="165" spans="1:18" outlineLevel="1" x14ac:dyDescent="0.3">
      <c r="A165" s="34" t="s">
        <v>290</v>
      </c>
      <c r="B165" s="19" t="s">
        <v>290</v>
      </c>
      <c r="C165" s="19" t="s">
        <v>15</v>
      </c>
      <c r="D165" s="20">
        <v>5121120</v>
      </c>
      <c r="E165" s="20" t="s">
        <v>291</v>
      </c>
      <c r="F165" s="21">
        <f>SUM(G165:R165)</f>
        <v>0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</row>
    <row r="166" spans="1:18" outlineLevel="1" x14ac:dyDescent="0.3">
      <c r="A166" s="34" t="s">
        <v>292</v>
      </c>
      <c r="B166" s="19" t="s">
        <v>292</v>
      </c>
      <c r="C166" s="19" t="s">
        <v>27</v>
      </c>
      <c r="D166" s="20">
        <v>5121140</v>
      </c>
      <c r="E166" s="20" t="s">
        <v>293</v>
      </c>
      <c r="F166" s="21">
        <f>SUM(G166:R166)</f>
        <v>0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</row>
    <row r="167" spans="1:18" outlineLevel="1" x14ac:dyDescent="0.3">
      <c r="A167" s="34" t="s">
        <v>294</v>
      </c>
      <c r="B167" s="19" t="s">
        <v>295</v>
      </c>
      <c r="C167" s="19" t="s">
        <v>15</v>
      </c>
      <c r="D167" s="20">
        <v>5121150</v>
      </c>
      <c r="E167" s="20" t="s">
        <v>296</v>
      </c>
      <c r="F167" s="21">
        <f>SUM(G167:R167)</f>
        <v>0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</row>
    <row r="168" spans="1:18" x14ac:dyDescent="0.3">
      <c r="A168" s="26" t="s">
        <v>297</v>
      </c>
      <c r="B168" s="27" t="s">
        <v>7</v>
      </c>
      <c r="C168" s="27"/>
      <c r="D168" s="28"/>
      <c r="E168" s="28"/>
      <c r="F168" s="46">
        <f t="shared" ref="F168:R168" si="34">SUM(F169:F172)</f>
        <v>0</v>
      </c>
      <c r="G168" s="46">
        <f t="shared" si="34"/>
        <v>0</v>
      </c>
      <c r="H168" s="46">
        <f t="shared" si="34"/>
        <v>0</v>
      </c>
      <c r="I168" s="46">
        <f t="shared" si="34"/>
        <v>0</v>
      </c>
      <c r="J168" s="46">
        <f t="shared" si="34"/>
        <v>0</v>
      </c>
      <c r="K168" s="46">
        <f t="shared" si="34"/>
        <v>0</v>
      </c>
      <c r="L168" s="46">
        <f t="shared" si="34"/>
        <v>0</v>
      </c>
      <c r="M168" s="46">
        <f t="shared" si="34"/>
        <v>0</v>
      </c>
      <c r="N168" s="46">
        <f t="shared" si="34"/>
        <v>0</v>
      </c>
      <c r="O168" s="46">
        <f t="shared" si="34"/>
        <v>0</v>
      </c>
      <c r="P168" s="46">
        <f t="shared" si="34"/>
        <v>0</v>
      </c>
      <c r="Q168" s="46">
        <f t="shared" si="34"/>
        <v>0</v>
      </c>
      <c r="R168" s="46">
        <f t="shared" si="34"/>
        <v>0</v>
      </c>
    </row>
    <row r="169" spans="1:18" outlineLevel="1" x14ac:dyDescent="0.3">
      <c r="A169" s="34" t="s">
        <v>298</v>
      </c>
      <c r="B169" s="19" t="s">
        <v>299</v>
      </c>
      <c r="C169" s="19" t="s">
        <v>27</v>
      </c>
      <c r="D169" s="20">
        <v>5122110</v>
      </c>
      <c r="E169" s="20" t="s">
        <v>300</v>
      </c>
      <c r="F169" s="21">
        <f>SUM(G169:R169)</f>
        <v>0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</row>
    <row r="170" spans="1:18" outlineLevel="1" x14ac:dyDescent="0.3">
      <c r="A170" s="34" t="s">
        <v>301</v>
      </c>
      <c r="B170" s="19" t="s">
        <v>302</v>
      </c>
      <c r="C170" s="19" t="s">
        <v>15</v>
      </c>
      <c r="D170" s="20">
        <v>5122120</v>
      </c>
      <c r="E170" s="20" t="s">
        <v>303</v>
      </c>
      <c r="F170" s="21">
        <f>SUM(G170:R170)</f>
        <v>0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</row>
    <row r="171" spans="1:18" outlineLevel="1" x14ac:dyDescent="0.3">
      <c r="A171" s="40" t="s">
        <v>304</v>
      </c>
      <c r="B171" s="19" t="s">
        <v>305</v>
      </c>
      <c r="C171" s="19" t="s">
        <v>15</v>
      </c>
      <c r="D171" s="20">
        <v>5122130</v>
      </c>
      <c r="E171" s="20" t="s">
        <v>306</v>
      </c>
      <c r="F171" s="21">
        <f>SUM(G171:R171)</f>
        <v>0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</row>
    <row r="172" spans="1:18" outlineLevel="1" x14ac:dyDescent="0.3">
      <c r="A172" s="34" t="s">
        <v>307</v>
      </c>
      <c r="B172" s="19" t="s">
        <v>308</v>
      </c>
      <c r="C172" s="19" t="s">
        <v>15</v>
      </c>
      <c r="D172" s="20">
        <v>5122140</v>
      </c>
      <c r="E172" s="20" t="s">
        <v>309</v>
      </c>
      <c r="F172" s="21">
        <f>SUM(G172:R172)</f>
        <v>0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</row>
    <row r="173" spans="1:18" x14ac:dyDescent="0.3">
      <c r="A173" s="26" t="s">
        <v>310</v>
      </c>
      <c r="B173" s="27" t="s">
        <v>7</v>
      </c>
      <c r="C173" s="27"/>
      <c r="D173" s="28"/>
      <c r="E173" s="28"/>
      <c r="F173" s="46">
        <f t="shared" ref="F173:R173" si="35">SUM(F174:F176)</f>
        <v>0</v>
      </c>
      <c r="G173" s="46">
        <f t="shared" si="35"/>
        <v>0</v>
      </c>
      <c r="H173" s="46">
        <f t="shared" si="35"/>
        <v>0</v>
      </c>
      <c r="I173" s="46">
        <f t="shared" si="35"/>
        <v>0</v>
      </c>
      <c r="J173" s="46">
        <f t="shared" si="35"/>
        <v>0</v>
      </c>
      <c r="K173" s="46">
        <f t="shared" si="35"/>
        <v>0</v>
      </c>
      <c r="L173" s="46">
        <f t="shared" si="35"/>
        <v>0</v>
      </c>
      <c r="M173" s="46">
        <f t="shared" si="35"/>
        <v>0</v>
      </c>
      <c r="N173" s="46">
        <f t="shared" si="35"/>
        <v>0</v>
      </c>
      <c r="O173" s="46">
        <f t="shared" si="35"/>
        <v>0</v>
      </c>
      <c r="P173" s="46">
        <f t="shared" si="35"/>
        <v>0</v>
      </c>
      <c r="Q173" s="46">
        <f t="shared" si="35"/>
        <v>0</v>
      </c>
      <c r="R173" s="46">
        <f t="shared" si="35"/>
        <v>0</v>
      </c>
    </row>
    <row r="174" spans="1:18" outlineLevel="1" x14ac:dyDescent="0.3">
      <c r="A174" s="34" t="s">
        <v>311</v>
      </c>
      <c r="B174" s="19" t="s">
        <v>312</v>
      </c>
      <c r="C174" s="19" t="s">
        <v>15</v>
      </c>
      <c r="D174" s="20">
        <v>5123110</v>
      </c>
      <c r="E174" s="20" t="s">
        <v>313</v>
      </c>
      <c r="F174" s="21">
        <f>SUM(G174:R174)</f>
        <v>0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</row>
    <row r="175" spans="1:18" outlineLevel="1" x14ac:dyDescent="0.3">
      <c r="A175" s="34" t="s">
        <v>314</v>
      </c>
      <c r="B175" s="19" t="s">
        <v>315</v>
      </c>
      <c r="C175" s="19" t="s">
        <v>15</v>
      </c>
      <c r="D175" s="20">
        <v>5123120</v>
      </c>
      <c r="E175" s="20" t="s">
        <v>316</v>
      </c>
      <c r="F175" s="21">
        <f>SUM(G175:R175)</f>
        <v>0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</row>
    <row r="176" spans="1:18" outlineLevel="1" x14ac:dyDescent="0.3">
      <c r="A176" s="57" t="s">
        <v>317</v>
      </c>
      <c r="B176" s="58" t="s">
        <v>318</v>
      </c>
      <c r="C176" s="58" t="s">
        <v>15</v>
      </c>
      <c r="D176" s="59">
        <v>5123130</v>
      </c>
      <c r="E176" s="59" t="s">
        <v>319</v>
      </c>
      <c r="F176" s="61">
        <f>SUM(G176:R176)</f>
        <v>0</v>
      </c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E496-19CE-488E-BCAD-FC52C3587F00}">
  <sheetPr>
    <tabColor theme="9"/>
  </sheetPr>
  <dimension ref="A1:AD176"/>
  <sheetViews>
    <sheetView zoomScale="85" zoomScaleNormal="85" workbookViewId="0">
      <pane xSplit="5" ySplit="4" topLeftCell="H12" activePane="bottomRight" state="frozen"/>
      <selection activeCell="BF17" sqref="BF17"/>
      <selection pane="topRight" activeCell="BF17" sqref="BF17"/>
      <selection pane="bottomLeft" activeCell="BF17" sqref="BF17"/>
      <selection pane="bottomRight" activeCell="AG169" sqref="AG169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875" style="66" customWidth="1" outlineLevel="1"/>
    <col min="4" max="4" width="9.25" style="67" customWidth="1" outlineLevel="1"/>
    <col min="5" max="5" width="13.25" style="67" customWidth="1" outlineLevel="1"/>
    <col min="6" max="17" width="14.25" style="66" customWidth="1" outlineLevel="1"/>
    <col min="18" max="18" width="14.25" style="66" bestFit="1" customWidth="1"/>
    <col min="19" max="19" width="14.25" style="66" bestFit="1" customWidth="1" outlineLevel="1"/>
    <col min="20" max="20" width="14.25" style="66" customWidth="1" outlineLevel="1"/>
    <col min="21" max="21" width="14.25" style="66" bestFit="1" customWidth="1" outlineLevel="1"/>
    <col min="22" max="30" width="14.25" style="66" customWidth="1" outlineLevel="1"/>
    <col min="31" max="16384" width="9" style="66"/>
  </cols>
  <sheetData>
    <row r="1" spans="1:30" x14ac:dyDescent="0.3">
      <c r="A1" s="89" t="s">
        <v>324</v>
      </c>
    </row>
    <row r="2" spans="1:30" x14ac:dyDescent="0.3">
      <c r="A2" s="66" t="s">
        <v>0</v>
      </c>
    </row>
    <row r="3" spans="1:30" ht="17.25" thickBot="1" x14ac:dyDescent="0.35">
      <c r="A3" s="66" t="s">
        <v>325</v>
      </c>
    </row>
    <row r="4" spans="1:30" ht="18" thickTop="1" thickBot="1" x14ac:dyDescent="0.35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6">
        <v>2025.01</v>
      </c>
      <c r="G4" s="7">
        <v>2025.02</v>
      </c>
      <c r="H4" s="7">
        <v>2025.03</v>
      </c>
      <c r="I4" s="7">
        <v>2025.04</v>
      </c>
      <c r="J4" s="7">
        <v>2025.05</v>
      </c>
      <c r="K4" s="8">
        <v>2025.06</v>
      </c>
      <c r="L4" s="9">
        <v>2025.07</v>
      </c>
      <c r="M4" s="9">
        <v>2025.08</v>
      </c>
      <c r="N4" s="9">
        <v>2025.09</v>
      </c>
      <c r="O4" s="10">
        <v>2025.1</v>
      </c>
      <c r="P4" s="9">
        <v>2025.11</v>
      </c>
      <c r="Q4" s="11">
        <v>2025.12</v>
      </c>
      <c r="R4" s="12">
        <v>2026</v>
      </c>
      <c r="S4" s="12">
        <v>2026.01</v>
      </c>
      <c r="T4" s="12">
        <v>2026.02</v>
      </c>
      <c r="U4" s="12">
        <v>2026.03</v>
      </c>
      <c r="V4" s="12">
        <v>2026.04</v>
      </c>
      <c r="W4" s="12">
        <v>2026.05</v>
      </c>
      <c r="X4" s="12">
        <v>2026.06</v>
      </c>
      <c r="Y4" s="12">
        <v>2026.07</v>
      </c>
      <c r="Z4" s="12">
        <v>2026.08</v>
      </c>
      <c r="AA4" s="12">
        <v>2026.09</v>
      </c>
      <c r="AB4" s="87">
        <v>2026.1</v>
      </c>
      <c r="AC4" s="12">
        <v>2026.11</v>
      </c>
      <c r="AD4" s="12">
        <v>2026.12</v>
      </c>
    </row>
    <row r="5" spans="1:30" ht="17.25" thickTop="1" x14ac:dyDescent="0.3">
      <c r="A5" s="13" t="s">
        <v>6</v>
      </c>
      <c r="B5" s="69" t="s">
        <v>7</v>
      </c>
      <c r="C5" s="69"/>
      <c r="D5" s="70"/>
      <c r="E5" s="70"/>
      <c r="F5" s="76"/>
      <c r="G5" s="44"/>
      <c r="H5" s="44"/>
      <c r="I5" s="44"/>
      <c r="J5" s="44"/>
      <c r="K5" s="44"/>
      <c r="L5" s="44"/>
      <c r="M5" s="44"/>
      <c r="N5" s="44"/>
      <c r="O5" s="44"/>
      <c r="P5" s="44"/>
      <c r="Q5" s="77"/>
      <c r="R5" s="43"/>
      <c r="S5" s="43"/>
      <c r="T5" s="43"/>
      <c r="U5" s="43"/>
      <c r="V5" s="45"/>
      <c r="W5" s="45"/>
      <c r="X5" s="45"/>
      <c r="Y5" s="45"/>
      <c r="Z5" s="45"/>
      <c r="AA5" s="45"/>
      <c r="AB5" s="45"/>
      <c r="AC5" s="45"/>
      <c r="AD5" s="43"/>
    </row>
    <row r="6" spans="1:30" x14ac:dyDescent="0.3">
      <c r="A6" s="18" t="s">
        <v>8</v>
      </c>
      <c r="B6" s="71" t="s">
        <v>7</v>
      </c>
      <c r="C6" s="71"/>
      <c r="D6" s="72"/>
      <c r="E6" s="72"/>
      <c r="F6" s="79"/>
      <c r="G6" s="52"/>
      <c r="H6" s="52"/>
      <c r="I6" s="52"/>
      <c r="J6" s="52"/>
      <c r="K6" s="52"/>
      <c r="L6" s="52"/>
      <c r="M6" s="52"/>
      <c r="N6" s="52"/>
      <c r="O6" s="52"/>
      <c r="P6" s="52"/>
      <c r="Q6" s="80"/>
      <c r="R6" s="35"/>
      <c r="S6" s="35"/>
      <c r="T6" s="35"/>
      <c r="U6" s="35"/>
      <c r="V6" s="53"/>
      <c r="W6" s="53"/>
      <c r="X6" s="53"/>
      <c r="Y6" s="53"/>
      <c r="Z6" s="53"/>
      <c r="AA6" s="53"/>
      <c r="AB6" s="53"/>
      <c r="AC6" s="53"/>
      <c r="AD6" s="35"/>
    </row>
    <row r="7" spans="1:30" x14ac:dyDescent="0.3">
      <c r="A7" s="13" t="s">
        <v>9</v>
      </c>
      <c r="B7" s="69" t="s">
        <v>7</v>
      </c>
      <c r="C7" s="69"/>
      <c r="D7" s="70"/>
      <c r="E7" s="70"/>
      <c r="F7" s="76"/>
      <c r="G7" s="44"/>
      <c r="H7" s="44"/>
      <c r="I7" s="44"/>
      <c r="J7" s="44"/>
      <c r="K7" s="44"/>
      <c r="L7" s="44"/>
      <c r="M7" s="44"/>
      <c r="N7" s="44"/>
      <c r="O7" s="44"/>
      <c r="P7" s="44"/>
      <c r="Q7" s="77"/>
      <c r="R7" s="43"/>
      <c r="S7" s="43"/>
      <c r="T7" s="43"/>
      <c r="U7" s="43"/>
      <c r="V7" s="45"/>
      <c r="W7" s="45"/>
      <c r="X7" s="45"/>
      <c r="Y7" s="45"/>
      <c r="Z7" s="45"/>
      <c r="AA7" s="45"/>
      <c r="AB7" s="45"/>
      <c r="AC7" s="45"/>
      <c r="AD7" s="43"/>
    </row>
    <row r="8" spans="1:30" x14ac:dyDescent="0.3">
      <c r="A8" s="18" t="s">
        <v>10</v>
      </c>
      <c r="B8" s="71" t="s">
        <v>7</v>
      </c>
      <c r="C8" s="71"/>
      <c r="D8" s="72"/>
      <c r="E8" s="72"/>
      <c r="F8" s="79"/>
      <c r="G8" s="52"/>
      <c r="H8" s="52"/>
      <c r="I8" s="52"/>
      <c r="J8" s="52"/>
      <c r="K8" s="52"/>
      <c r="L8" s="52"/>
      <c r="M8" s="52"/>
      <c r="N8" s="52"/>
      <c r="O8" s="52"/>
      <c r="P8" s="52"/>
      <c r="Q8" s="80"/>
      <c r="R8" s="35"/>
      <c r="S8" s="35"/>
      <c r="T8" s="35"/>
      <c r="U8" s="35"/>
      <c r="V8" s="53"/>
      <c r="W8" s="53"/>
      <c r="X8" s="53"/>
      <c r="Y8" s="53"/>
      <c r="Z8" s="53"/>
      <c r="AA8" s="53"/>
      <c r="AB8" s="53"/>
      <c r="AC8" s="53"/>
      <c r="AD8" s="35"/>
    </row>
    <row r="9" spans="1:30" x14ac:dyDescent="0.3">
      <c r="A9" s="13" t="s">
        <v>11</v>
      </c>
      <c r="B9" s="69" t="s">
        <v>7</v>
      </c>
      <c r="C9" s="69"/>
      <c r="D9" s="70"/>
      <c r="E9" s="70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x14ac:dyDescent="0.3">
      <c r="A10" s="26" t="s">
        <v>12</v>
      </c>
      <c r="B10" s="73" t="s">
        <v>7</v>
      </c>
      <c r="C10" s="73"/>
      <c r="D10" s="74"/>
      <c r="E10" s="74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outlineLevel="1" x14ac:dyDescent="0.3">
      <c r="A11" s="34" t="s">
        <v>13</v>
      </c>
      <c r="B11" s="71" t="s">
        <v>14</v>
      </c>
      <c r="C11" s="71" t="s">
        <v>15</v>
      </c>
      <c r="D11" s="72">
        <v>5102110</v>
      </c>
      <c r="E11" s="72" t="s">
        <v>16</v>
      </c>
      <c r="F11" s="37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9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 outlineLevel="1" x14ac:dyDescent="0.3">
      <c r="A12" s="34" t="s">
        <v>17</v>
      </c>
      <c r="B12" s="71" t="s">
        <v>18</v>
      </c>
      <c r="C12" s="71" t="s">
        <v>15</v>
      </c>
      <c r="D12" s="72">
        <v>5102120</v>
      </c>
      <c r="E12" s="72" t="s">
        <v>19</v>
      </c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 x14ac:dyDescent="0.3">
      <c r="A13" s="26" t="s">
        <v>20</v>
      </c>
      <c r="B13" s="73" t="s">
        <v>7</v>
      </c>
      <c r="C13" s="73"/>
      <c r="D13" s="74" t="s">
        <v>21</v>
      </c>
      <c r="E13" s="74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outlineLevel="1" x14ac:dyDescent="0.3">
      <c r="A14" s="40" t="s">
        <v>22</v>
      </c>
      <c r="B14" s="71" t="s">
        <v>14</v>
      </c>
      <c r="C14" s="71" t="s">
        <v>15</v>
      </c>
      <c r="D14" s="72">
        <v>5102210</v>
      </c>
      <c r="E14" s="72" t="s">
        <v>16</v>
      </c>
      <c r="F14" s="3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 outlineLevel="1" x14ac:dyDescent="0.3">
      <c r="A15" s="34" t="s">
        <v>23</v>
      </c>
      <c r="B15" s="71" t="s">
        <v>18</v>
      </c>
      <c r="C15" s="71" t="s">
        <v>15</v>
      </c>
      <c r="D15" s="72">
        <v>5102220</v>
      </c>
      <c r="E15" s="72" t="s">
        <v>19</v>
      </c>
      <c r="F15" s="3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 outlineLevel="1" x14ac:dyDescent="0.3">
      <c r="A16" s="34" t="s">
        <v>24</v>
      </c>
      <c r="B16" s="71" t="s">
        <v>14</v>
      </c>
      <c r="C16" s="71" t="s">
        <v>15</v>
      </c>
      <c r="D16" s="72">
        <v>5102230</v>
      </c>
      <c r="E16" s="72" t="s">
        <v>16</v>
      </c>
      <c r="F16" s="3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outlineLevel="1" x14ac:dyDescent="0.3">
      <c r="A17" s="34" t="s">
        <v>25</v>
      </c>
      <c r="B17" s="71" t="s">
        <v>26</v>
      </c>
      <c r="C17" s="71" t="s">
        <v>27</v>
      </c>
      <c r="D17" s="72">
        <v>5102240</v>
      </c>
      <c r="E17" s="72" t="s">
        <v>28</v>
      </c>
      <c r="F17" s="37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outlineLevel="1" x14ac:dyDescent="0.3">
      <c r="A18" s="34" t="s">
        <v>29</v>
      </c>
      <c r="B18" s="71" t="s">
        <v>14</v>
      </c>
      <c r="C18" s="71" t="s">
        <v>15</v>
      </c>
      <c r="D18" s="72">
        <v>5102250</v>
      </c>
      <c r="E18" s="72" t="s">
        <v>16</v>
      </c>
      <c r="F18" s="37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9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outlineLevel="1" x14ac:dyDescent="0.3">
      <c r="A19" s="34" t="s">
        <v>30</v>
      </c>
      <c r="B19" s="71" t="s">
        <v>26</v>
      </c>
      <c r="C19" s="71" t="s">
        <v>15</v>
      </c>
      <c r="D19" s="72">
        <v>5102260</v>
      </c>
      <c r="E19" s="72" t="s">
        <v>28</v>
      </c>
      <c r="F19" s="3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outlineLevel="1" x14ac:dyDescent="0.3">
      <c r="A20" s="34" t="s">
        <v>31</v>
      </c>
      <c r="B20" s="71" t="s">
        <v>14</v>
      </c>
      <c r="C20" s="71" t="s">
        <v>15</v>
      </c>
      <c r="D20" s="72">
        <v>5102280</v>
      </c>
      <c r="E20" s="72" t="s">
        <v>16</v>
      </c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outlineLevel="1" x14ac:dyDescent="0.3">
      <c r="A21" s="34" t="s">
        <v>32</v>
      </c>
      <c r="B21" s="71" t="s">
        <v>26</v>
      </c>
      <c r="C21" s="71" t="s">
        <v>15</v>
      </c>
      <c r="D21" s="72">
        <v>5102290</v>
      </c>
      <c r="E21" s="72" t="s">
        <v>28</v>
      </c>
      <c r="F21" s="3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x14ac:dyDescent="0.3">
      <c r="A22" s="26" t="s">
        <v>33</v>
      </c>
      <c r="B22" s="73" t="s">
        <v>7</v>
      </c>
      <c r="C22" s="73"/>
      <c r="D22" s="74" t="s">
        <v>21</v>
      </c>
      <c r="E22" s="74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outlineLevel="1" x14ac:dyDescent="0.3">
      <c r="A23" s="34" t="s">
        <v>34</v>
      </c>
      <c r="B23" s="71" t="s">
        <v>18</v>
      </c>
      <c r="C23" s="71" t="s">
        <v>15</v>
      </c>
      <c r="D23" s="72">
        <v>5102410</v>
      </c>
      <c r="E23" s="72" t="s">
        <v>19</v>
      </c>
      <c r="F23" s="37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9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outlineLevel="1" x14ac:dyDescent="0.3">
      <c r="A24" s="34" t="s">
        <v>35</v>
      </c>
      <c r="B24" s="75" t="s">
        <v>7</v>
      </c>
      <c r="C24" s="75" t="s">
        <v>15</v>
      </c>
      <c r="D24" s="72">
        <v>5102420</v>
      </c>
      <c r="E24" s="72" t="s">
        <v>28</v>
      </c>
      <c r="F24" s="37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9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 outlineLevel="1" x14ac:dyDescent="0.3">
      <c r="A25" s="34" t="s">
        <v>36</v>
      </c>
      <c r="B25" s="75"/>
      <c r="C25" s="75" t="s">
        <v>37</v>
      </c>
      <c r="D25" s="72" t="s">
        <v>38</v>
      </c>
      <c r="E25" s="72"/>
      <c r="F25" s="37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9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x14ac:dyDescent="0.3">
      <c r="A26" s="13" t="s">
        <v>39</v>
      </c>
      <c r="B26" s="69" t="s">
        <v>7</v>
      </c>
      <c r="C26" s="69"/>
      <c r="D26" s="70"/>
      <c r="E26" s="70"/>
      <c r="F26" s="76">
        <f t="shared" ref="F26:J26" si="0">F27+F46+F52+F60+F68+F79+F88+F100+F107+F115+F118+F128+F130+F138+F140+F146+F149+F158+F163+F168+F173</f>
        <v>23319775</v>
      </c>
      <c r="G26" s="44">
        <f t="shared" si="0"/>
        <v>27124270</v>
      </c>
      <c r="H26" s="44">
        <f t="shared" si="0"/>
        <v>10062648</v>
      </c>
      <c r="I26" s="44">
        <f t="shared" si="0"/>
        <v>13246930</v>
      </c>
      <c r="J26" s="44">
        <f t="shared" si="0"/>
        <v>16812252</v>
      </c>
      <c r="K26" s="44">
        <v>23877410.300000001</v>
      </c>
      <c r="L26" s="44">
        <v>31852411.300000001</v>
      </c>
      <c r="M26" s="44">
        <v>26866410.300000001</v>
      </c>
      <c r="N26" s="44">
        <v>16269410.300000001</v>
      </c>
      <c r="O26" s="44">
        <v>19295411.300000001</v>
      </c>
      <c r="P26" s="44">
        <v>26115410.300000001</v>
      </c>
      <c r="Q26" s="77">
        <v>27972410.300000001</v>
      </c>
      <c r="R26" s="43">
        <f t="shared" ref="R26:AD26" si="1">R27+R46+R52+R60+R68+R79+R88+R100+R107+R115+R118+R128+R130+R138+R140+R146+R149+R158+R163+R168+R173</f>
        <v>274757956</v>
      </c>
      <c r="S26" s="43">
        <f t="shared" si="1"/>
        <v>21531912</v>
      </c>
      <c r="T26" s="43">
        <f t="shared" si="1"/>
        <v>15559092</v>
      </c>
      <c r="U26" s="43">
        <f t="shared" si="1"/>
        <v>20667874</v>
      </c>
      <c r="V26" s="43">
        <f t="shared" si="1"/>
        <v>15304206</v>
      </c>
      <c r="W26" s="43">
        <f t="shared" si="1"/>
        <v>15795632</v>
      </c>
      <c r="X26" s="43">
        <f t="shared" si="1"/>
        <v>49722584</v>
      </c>
      <c r="Y26" s="43">
        <f t="shared" si="1"/>
        <v>19388932</v>
      </c>
      <c r="Z26" s="43">
        <f t="shared" si="1"/>
        <v>17228142</v>
      </c>
      <c r="AA26" s="43">
        <f t="shared" si="1"/>
        <v>18097524</v>
      </c>
      <c r="AB26" s="43">
        <f t="shared" si="1"/>
        <v>25865922</v>
      </c>
      <c r="AC26" s="43">
        <f t="shared" si="1"/>
        <v>24352992</v>
      </c>
      <c r="AD26" s="43">
        <f t="shared" si="1"/>
        <v>31243144</v>
      </c>
    </row>
    <row r="27" spans="1:30" x14ac:dyDescent="0.3">
      <c r="A27" s="26" t="s">
        <v>40</v>
      </c>
      <c r="B27" s="73" t="s">
        <v>7</v>
      </c>
      <c r="C27" s="73"/>
      <c r="D27" s="74"/>
      <c r="E27" s="74"/>
      <c r="F27" s="41">
        <f t="shared" ref="F27:J27" si="2">SUM(F28:F45)</f>
        <v>5582172</v>
      </c>
      <c r="G27" s="49">
        <f t="shared" si="2"/>
        <v>4600690</v>
      </c>
      <c r="H27" s="49">
        <f t="shared" si="2"/>
        <v>5028126</v>
      </c>
      <c r="I27" s="49">
        <f t="shared" si="2"/>
        <v>6044225</v>
      </c>
      <c r="J27" s="49">
        <f t="shared" si="2"/>
        <v>5089794</v>
      </c>
      <c r="K27" s="49">
        <v>6321897.2999999998</v>
      </c>
      <c r="L27" s="49">
        <v>6261897.2999999998</v>
      </c>
      <c r="M27" s="49">
        <v>6261897.2999999998</v>
      </c>
      <c r="N27" s="49">
        <v>6321897.2999999998</v>
      </c>
      <c r="O27" s="49">
        <v>6261897.2999999998</v>
      </c>
      <c r="P27" s="49">
        <v>6261897.2999999998</v>
      </c>
      <c r="Q27" s="78">
        <v>6321897.2999999998</v>
      </c>
      <c r="R27" s="29">
        <f t="shared" ref="R27:AD27" si="3">SUM(R28:R45)</f>
        <v>62237744</v>
      </c>
      <c r="S27" s="29">
        <f t="shared" si="3"/>
        <v>5119812</v>
      </c>
      <c r="T27" s="50">
        <f t="shared" si="3"/>
        <v>5119812</v>
      </c>
      <c r="U27" s="29">
        <f t="shared" si="3"/>
        <v>5319812</v>
      </c>
      <c r="V27" s="29">
        <f t="shared" si="3"/>
        <v>5119812</v>
      </c>
      <c r="W27" s="29">
        <f t="shared" si="3"/>
        <v>5119812</v>
      </c>
      <c r="X27" s="29">
        <f t="shared" si="3"/>
        <v>5319812</v>
      </c>
      <c r="Y27" s="29">
        <f t="shared" si="3"/>
        <v>5119812</v>
      </c>
      <c r="Z27" s="29">
        <f t="shared" si="3"/>
        <v>5119812</v>
      </c>
      <c r="AA27" s="29">
        <f t="shared" si="3"/>
        <v>5319812</v>
      </c>
      <c r="AB27" s="29">
        <f t="shared" si="3"/>
        <v>5119812</v>
      </c>
      <c r="AC27" s="29">
        <f t="shared" si="3"/>
        <v>5119812</v>
      </c>
      <c r="AD27" s="29">
        <f t="shared" si="3"/>
        <v>5319812</v>
      </c>
    </row>
    <row r="28" spans="1:30" outlineLevel="1" x14ac:dyDescent="0.3">
      <c r="A28" s="34" t="s">
        <v>41</v>
      </c>
      <c r="B28" s="71" t="s">
        <v>42</v>
      </c>
      <c r="C28" s="71" t="s">
        <v>15</v>
      </c>
      <c r="D28" s="72">
        <v>5103260</v>
      </c>
      <c r="E28" s="72" t="s">
        <v>43</v>
      </c>
      <c r="F28" s="79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80">
        <v>0</v>
      </c>
      <c r="R28" s="35">
        <f t="shared" ref="R28:R45" si="4">SUM(S28:AD28)</f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</row>
    <row r="29" spans="1:30" outlineLevel="1" x14ac:dyDescent="0.3">
      <c r="A29" s="34" t="s">
        <v>44</v>
      </c>
      <c r="B29" s="71" t="s">
        <v>45</v>
      </c>
      <c r="C29" s="71" t="s">
        <v>15</v>
      </c>
      <c r="D29" s="72">
        <v>5103250</v>
      </c>
      <c r="E29" s="72" t="s">
        <v>46</v>
      </c>
      <c r="F29" s="79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80">
        <v>0</v>
      </c>
      <c r="R29" s="35">
        <f t="shared" si="4"/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</row>
    <row r="30" spans="1:30" outlineLevel="1" x14ac:dyDescent="0.3">
      <c r="A30" s="34" t="s">
        <v>47</v>
      </c>
      <c r="B30" s="71" t="s">
        <v>48</v>
      </c>
      <c r="C30" s="71" t="s">
        <v>15</v>
      </c>
      <c r="D30" s="72">
        <v>5103240</v>
      </c>
      <c r="E30" s="72" t="s">
        <v>49</v>
      </c>
      <c r="F30" s="79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80">
        <v>0</v>
      </c>
      <c r="R30" s="35">
        <f t="shared" si="4"/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</row>
    <row r="31" spans="1:30" outlineLevel="1" x14ac:dyDescent="0.3">
      <c r="A31" s="34" t="s">
        <v>50</v>
      </c>
      <c r="B31" s="71" t="s">
        <v>51</v>
      </c>
      <c r="C31" s="71" t="s">
        <v>15</v>
      </c>
      <c r="D31" s="72">
        <v>5103230</v>
      </c>
      <c r="E31" s="72" t="s">
        <v>52</v>
      </c>
      <c r="F31" s="79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80">
        <v>0</v>
      </c>
      <c r="R31" s="35">
        <f t="shared" si="4"/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</row>
    <row r="32" spans="1:30" outlineLevel="1" x14ac:dyDescent="0.3">
      <c r="A32" s="34" t="s">
        <v>53</v>
      </c>
      <c r="B32" s="71" t="s">
        <v>54</v>
      </c>
      <c r="C32" s="71" t="s">
        <v>15</v>
      </c>
      <c r="D32" s="72">
        <v>5103220</v>
      </c>
      <c r="E32" s="72" t="s">
        <v>55</v>
      </c>
      <c r="F32" s="79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80">
        <v>0</v>
      </c>
      <c r="R32" s="35">
        <f t="shared" si="4"/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</row>
    <row r="33" spans="1:30" outlineLevel="1" x14ac:dyDescent="0.3">
      <c r="A33" s="34" t="s">
        <v>56</v>
      </c>
      <c r="B33" s="71" t="s">
        <v>56</v>
      </c>
      <c r="C33" s="71" t="s">
        <v>15</v>
      </c>
      <c r="D33" s="72">
        <v>5103210</v>
      </c>
      <c r="E33" s="72" t="s">
        <v>57</v>
      </c>
      <c r="F33" s="79">
        <v>0</v>
      </c>
      <c r="G33" s="52">
        <v>0</v>
      </c>
      <c r="H33" s="52">
        <v>150000</v>
      </c>
      <c r="I33" s="52">
        <v>50000</v>
      </c>
      <c r="J33" s="52">
        <v>0</v>
      </c>
      <c r="K33" s="52">
        <v>100000</v>
      </c>
      <c r="L33" s="52">
        <v>50000</v>
      </c>
      <c r="M33" s="52">
        <v>50000</v>
      </c>
      <c r="N33" s="52">
        <v>100000</v>
      </c>
      <c r="O33" s="52">
        <v>50000</v>
      </c>
      <c r="P33" s="52">
        <v>50000</v>
      </c>
      <c r="Q33" s="80">
        <v>100000</v>
      </c>
      <c r="R33" s="35">
        <f t="shared" si="4"/>
        <v>800000</v>
      </c>
      <c r="S33" s="35">
        <v>0</v>
      </c>
      <c r="T33" s="35">
        <v>0</v>
      </c>
      <c r="U33" s="35">
        <v>200000</v>
      </c>
      <c r="V33" s="53">
        <v>0</v>
      </c>
      <c r="W33" s="35">
        <v>0</v>
      </c>
      <c r="X33" s="53">
        <v>200000</v>
      </c>
      <c r="Y33" s="35">
        <v>0</v>
      </c>
      <c r="Z33" s="53">
        <v>0</v>
      </c>
      <c r="AA33" s="35">
        <v>200000</v>
      </c>
      <c r="AB33" s="35">
        <v>0</v>
      </c>
      <c r="AC33" s="35">
        <v>0</v>
      </c>
      <c r="AD33" s="35">
        <v>200000</v>
      </c>
    </row>
    <row r="34" spans="1:30" outlineLevel="1" x14ac:dyDescent="0.3">
      <c r="A34" s="34" t="s">
        <v>58</v>
      </c>
      <c r="B34" s="71" t="s">
        <v>59</v>
      </c>
      <c r="C34" s="71" t="s">
        <v>15</v>
      </c>
      <c r="D34" s="72">
        <v>5103190</v>
      </c>
      <c r="E34" s="72" t="s">
        <v>60</v>
      </c>
      <c r="F34" s="79">
        <v>55660</v>
      </c>
      <c r="G34" s="52">
        <v>55660</v>
      </c>
      <c r="H34" s="52">
        <v>53730</v>
      </c>
      <c r="I34" s="52">
        <v>53440</v>
      </c>
      <c r="J34" s="52">
        <v>53440</v>
      </c>
      <c r="K34" s="52">
        <v>65580</v>
      </c>
      <c r="L34" s="52">
        <v>65580</v>
      </c>
      <c r="M34" s="52">
        <v>65580</v>
      </c>
      <c r="N34" s="52">
        <v>65580</v>
      </c>
      <c r="O34" s="52">
        <v>65580</v>
      </c>
      <c r="P34" s="52">
        <v>65580</v>
      </c>
      <c r="Q34" s="52">
        <v>65580</v>
      </c>
      <c r="R34" s="35">
        <f t="shared" si="4"/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</row>
    <row r="35" spans="1:30" outlineLevel="1" x14ac:dyDescent="0.3">
      <c r="A35" s="34" t="s">
        <v>61</v>
      </c>
      <c r="B35" s="71" t="s">
        <v>62</v>
      </c>
      <c r="C35" s="71" t="s">
        <v>15</v>
      </c>
      <c r="D35" s="72">
        <v>5103180</v>
      </c>
      <c r="E35" s="72" t="s">
        <v>63</v>
      </c>
      <c r="F35" s="79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80">
        <v>0</v>
      </c>
      <c r="R35" s="35">
        <f t="shared" si="4"/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</row>
    <row r="36" spans="1:30" outlineLevel="1" x14ac:dyDescent="0.3">
      <c r="A36" s="34" t="s">
        <v>64</v>
      </c>
      <c r="B36" s="71" t="s">
        <v>65</v>
      </c>
      <c r="C36" s="71" t="s">
        <v>15</v>
      </c>
      <c r="D36" s="72">
        <v>5103170</v>
      </c>
      <c r="E36" s="72" t="s">
        <v>66</v>
      </c>
      <c r="F36" s="79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80">
        <v>0</v>
      </c>
      <c r="R36" s="35">
        <f t="shared" si="4"/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</row>
    <row r="37" spans="1:30" outlineLevel="1" x14ac:dyDescent="0.3">
      <c r="A37" s="34" t="s">
        <v>67</v>
      </c>
      <c r="B37" s="71" t="s">
        <v>68</v>
      </c>
      <c r="C37" s="71" t="s">
        <v>15</v>
      </c>
      <c r="D37" s="72">
        <v>5103160</v>
      </c>
      <c r="E37" s="72" t="s">
        <v>69</v>
      </c>
      <c r="F37" s="79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80">
        <v>0</v>
      </c>
      <c r="R37" s="35">
        <f t="shared" si="4"/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</row>
    <row r="38" spans="1:30" outlineLevel="1" x14ac:dyDescent="0.3">
      <c r="A38" s="34" t="s">
        <v>70</v>
      </c>
      <c r="B38" s="71" t="s">
        <v>71</v>
      </c>
      <c r="C38" s="71" t="s">
        <v>15</v>
      </c>
      <c r="D38" s="72">
        <v>5103150</v>
      </c>
      <c r="E38" s="72" t="s">
        <v>72</v>
      </c>
      <c r="F38" s="79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80">
        <v>0</v>
      </c>
      <c r="R38" s="35">
        <f t="shared" si="4"/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</row>
    <row r="39" spans="1:30" outlineLevel="1" x14ac:dyDescent="0.3">
      <c r="A39" s="34" t="s">
        <v>73</v>
      </c>
      <c r="B39" s="71" t="s">
        <v>74</v>
      </c>
      <c r="C39" s="71" t="s">
        <v>15</v>
      </c>
      <c r="D39" s="72">
        <v>5103140</v>
      </c>
      <c r="E39" s="72" t="s">
        <v>75</v>
      </c>
      <c r="F39" s="79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35">
        <f t="shared" si="4"/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</row>
    <row r="40" spans="1:30" outlineLevel="1" x14ac:dyDescent="0.3">
      <c r="A40" s="34" t="s">
        <v>76</v>
      </c>
      <c r="B40" s="71" t="s">
        <v>7</v>
      </c>
      <c r="C40" s="71" t="s">
        <v>15</v>
      </c>
      <c r="D40" s="72">
        <v>5103130</v>
      </c>
      <c r="E40" s="72" t="s">
        <v>77</v>
      </c>
      <c r="F40" s="79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80">
        <v>0</v>
      </c>
      <c r="R40" s="35">
        <f t="shared" si="4"/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</row>
    <row r="41" spans="1:30" outlineLevel="1" x14ac:dyDescent="0.3">
      <c r="A41" s="34" t="s">
        <v>78</v>
      </c>
      <c r="B41" s="71" t="s">
        <v>79</v>
      </c>
      <c r="C41" s="71" t="s">
        <v>15</v>
      </c>
      <c r="D41" s="72">
        <v>5103120</v>
      </c>
      <c r="E41" s="72" t="s">
        <v>80</v>
      </c>
      <c r="F41" s="79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80">
        <v>0</v>
      </c>
      <c r="R41" s="35">
        <f t="shared" si="4"/>
        <v>0</v>
      </c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outlineLevel="1" x14ac:dyDescent="0.3">
      <c r="A42" s="34" t="s">
        <v>81</v>
      </c>
      <c r="B42" s="71" t="s">
        <v>82</v>
      </c>
      <c r="C42" s="71" t="s">
        <v>15</v>
      </c>
      <c r="D42" s="72">
        <v>5103110</v>
      </c>
      <c r="E42" s="72" t="s">
        <v>83</v>
      </c>
      <c r="F42" s="79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80">
        <v>0</v>
      </c>
      <c r="R42" s="35">
        <f t="shared" si="4"/>
        <v>0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 outlineLevel="1" x14ac:dyDescent="0.3">
      <c r="A43" s="34" t="s">
        <v>84</v>
      </c>
      <c r="B43" s="71" t="s">
        <v>59</v>
      </c>
      <c r="C43" s="71" t="s">
        <v>15</v>
      </c>
      <c r="D43" s="72">
        <v>5103270</v>
      </c>
      <c r="E43" s="72" t="s">
        <v>60</v>
      </c>
      <c r="F43" s="79">
        <v>4985420</v>
      </c>
      <c r="G43" s="52">
        <v>4545030</v>
      </c>
      <c r="H43" s="52">
        <v>4545030</v>
      </c>
      <c r="I43" s="52">
        <v>5598300</v>
      </c>
      <c r="J43" s="52">
        <v>4541080</v>
      </c>
      <c r="K43" s="52">
        <v>5816317.2999999998</v>
      </c>
      <c r="L43" s="52">
        <v>5816317.2999999998</v>
      </c>
      <c r="M43" s="52">
        <v>5816317.2999999998</v>
      </c>
      <c r="N43" s="52">
        <v>5816317.2999999998</v>
      </c>
      <c r="O43" s="52">
        <v>5816317.2999999998</v>
      </c>
      <c r="P43" s="52">
        <v>5816317.2999999998</v>
      </c>
      <c r="Q43" s="52">
        <v>5816317.2999999998</v>
      </c>
      <c r="R43" s="35">
        <f t="shared" si="4"/>
        <v>58115664</v>
      </c>
      <c r="S43" s="35">
        <f>AVERAGE(F43:J43)</f>
        <v>4842972</v>
      </c>
      <c r="T43" s="35">
        <f>S43</f>
        <v>4842972</v>
      </c>
      <c r="U43" s="35">
        <f t="shared" ref="U43:AD44" si="5">T43</f>
        <v>4842972</v>
      </c>
      <c r="V43" s="35">
        <f t="shared" si="5"/>
        <v>4842972</v>
      </c>
      <c r="W43" s="35">
        <f t="shared" si="5"/>
        <v>4842972</v>
      </c>
      <c r="X43" s="35">
        <f t="shared" si="5"/>
        <v>4842972</v>
      </c>
      <c r="Y43" s="35">
        <f t="shared" si="5"/>
        <v>4842972</v>
      </c>
      <c r="Z43" s="35">
        <f t="shared" si="5"/>
        <v>4842972</v>
      </c>
      <c r="AA43" s="35">
        <f t="shared" si="5"/>
        <v>4842972</v>
      </c>
      <c r="AB43" s="35">
        <f t="shared" si="5"/>
        <v>4842972</v>
      </c>
      <c r="AC43" s="35">
        <f t="shared" si="5"/>
        <v>4842972</v>
      </c>
      <c r="AD43" s="35">
        <f t="shared" si="5"/>
        <v>4842972</v>
      </c>
    </row>
    <row r="44" spans="1:30" outlineLevel="1" x14ac:dyDescent="0.3">
      <c r="A44" s="34" t="s">
        <v>85</v>
      </c>
      <c r="B44" s="71" t="s">
        <v>85</v>
      </c>
      <c r="C44" s="71" t="s">
        <v>27</v>
      </c>
      <c r="D44" s="72">
        <v>5103111</v>
      </c>
      <c r="E44" s="72" t="s">
        <v>86</v>
      </c>
      <c r="F44" s="79">
        <v>8364</v>
      </c>
      <c r="G44" s="52">
        <v>0</v>
      </c>
      <c r="H44" s="52">
        <v>8000</v>
      </c>
      <c r="I44" s="52">
        <v>8836</v>
      </c>
      <c r="J44" s="52">
        <v>9000</v>
      </c>
      <c r="K44" s="52">
        <v>40000</v>
      </c>
      <c r="L44" s="52">
        <v>30000</v>
      </c>
      <c r="M44" s="52">
        <v>30000</v>
      </c>
      <c r="N44" s="52">
        <v>40000</v>
      </c>
      <c r="O44" s="52">
        <v>30000</v>
      </c>
      <c r="P44" s="52">
        <v>30000</v>
      </c>
      <c r="Q44" s="80">
        <v>40000</v>
      </c>
      <c r="R44" s="35">
        <f t="shared" si="4"/>
        <v>82080</v>
      </c>
      <c r="S44" s="35">
        <f>AVERAGE(F44:J44)</f>
        <v>6840</v>
      </c>
      <c r="T44" s="35">
        <f>S44</f>
        <v>6840</v>
      </c>
      <c r="U44" s="35">
        <f t="shared" si="5"/>
        <v>6840</v>
      </c>
      <c r="V44" s="35">
        <f t="shared" si="5"/>
        <v>6840</v>
      </c>
      <c r="W44" s="35">
        <f t="shared" si="5"/>
        <v>6840</v>
      </c>
      <c r="X44" s="35">
        <f t="shared" si="5"/>
        <v>6840</v>
      </c>
      <c r="Y44" s="35">
        <f t="shared" si="5"/>
        <v>6840</v>
      </c>
      <c r="Z44" s="35">
        <f t="shared" si="5"/>
        <v>6840</v>
      </c>
      <c r="AA44" s="35">
        <f t="shared" si="5"/>
        <v>6840</v>
      </c>
      <c r="AB44" s="35">
        <f t="shared" si="5"/>
        <v>6840</v>
      </c>
      <c r="AC44" s="35">
        <f t="shared" si="5"/>
        <v>6840</v>
      </c>
      <c r="AD44" s="35">
        <f t="shared" si="5"/>
        <v>6840</v>
      </c>
    </row>
    <row r="45" spans="1:30" outlineLevel="1" x14ac:dyDescent="0.3">
      <c r="A45" s="34" t="s">
        <v>87</v>
      </c>
      <c r="B45" s="71" t="s">
        <v>87</v>
      </c>
      <c r="C45" s="71" t="s">
        <v>15</v>
      </c>
      <c r="D45" s="72">
        <v>5103131</v>
      </c>
      <c r="E45" s="72" t="s">
        <v>88</v>
      </c>
      <c r="F45" s="79">
        <v>532728</v>
      </c>
      <c r="G45" s="52">
        <v>0</v>
      </c>
      <c r="H45" s="52">
        <v>271366</v>
      </c>
      <c r="I45" s="52">
        <v>333649</v>
      </c>
      <c r="J45" s="52">
        <v>486274</v>
      </c>
      <c r="K45" s="52">
        <v>300000</v>
      </c>
      <c r="L45" s="52">
        <v>300000</v>
      </c>
      <c r="M45" s="52">
        <v>300000</v>
      </c>
      <c r="N45" s="52">
        <v>300000</v>
      </c>
      <c r="O45" s="52">
        <v>300000</v>
      </c>
      <c r="P45" s="52">
        <v>300000</v>
      </c>
      <c r="Q45" s="52">
        <v>300000</v>
      </c>
      <c r="R45" s="35">
        <f t="shared" si="4"/>
        <v>3240000</v>
      </c>
      <c r="S45" s="35">
        <v>270000</v>
      </c>
      <c r="T45" s="35">
        <v>270000</v>
      </c>
      <c r="U45" s="35">
        <v>270000</v>
      </c>
      <c r="V45" s="35">
        <v>270000</v>
      </c>
      <c r="W45" s="35">
        <v>270000</v>
      </c>
      <c r="X45" s="35">
        <v>270000</v>
      </c>
      <c r="Y45" s="35">
        <v>270000</v>
      </c>
      <c r="Z45" s="35">
        <v>270000</v>
      </c>
      <c r="AA45" s="35">
        <v>270000</v>
      </c>
      <c r="AB45" s="35">
        <v>270000</v>
      </c>
      <c r="AC45" s="35">
        <v>270000</v>
      </c>
      <c r="AD45" s="35">
        <v>270000</v>
      </c>
    </row>
    <row r="46" spans="1:30" x14ac:dyDescent="0.3">
      <c r="A46" s="26" t="s">
        <v>89</v>
      </c>
      <c r="B46" s="73" t="s">
        <v>7</v>
      </c>
      <c r="C46" s="73"/>
      <c r="D46" s="74"/>
      <c r="E46" s="74"/>
      <c r="F46" s="41">
        <f t="shared" ref="F46:J46" si="6">SUM(F47:F51)</f>
        <v>119423</v>
      </c>
      <c r="G46" s="49">
        <f t="shared" si="6"/>
        <v>0</v>
      </c>
      <c r="H46" s="49">
        <f t="shared" si="6"/>
        <v>147342</v>
      </c>
      <c r="I46" s="49">
        <f t="shared" si="6"/>
        <v>45361</v>
      </c>
      <c r="J46" s="49">
        <f t="shared" si="6"/>
        <v>19900</v>
      </c>
      <c r="K46" s="49">
        <v>150000</v>
      </c>
      <c r="L46" s="49">
        <v>150000</v>
      </c>
      <c r="M46" s="49">
        <v>150000</v>
      </c>
      <c r="N46" s="49">
        <v>150000</v>
      </c>
      <c r="O46" s="49">
        <v>150000</v>
      </c>
      <c r="P46" s="49">
        <v>150000</v>
      </c>
      <c r="Q46" s="78">
        <v>150000</v>
      </c>
      <c r="R46" s="29">
        <f t="shared" ref="R46:AD46" si="7">SUM(R47:R51)</f>
        <v>1800008</v>
      </c>
      <c r="S46" s="29">
        <f t="shared" si="7"/>
        <v>150000</v>
      </c>
      <c r="T46" s="29">
        <f t="shared" si="7"/>
        <v>150000</v>
      </c>
      <c r="U46" s="29">
        <f t="shared" si="7"/>
        <v>150002</v>
      </c>
      <c r="V46" s="50">
        <f t="shared" si="7"/>
        <v>150000</v>
      </c>
      <c r="W46" s="29">
        <f t="shared" si="7"/>
        <v>150000</v>
      </c>
      <c r="X46" s="29">
        <f t="shared" si="7"/>
        <v>150002</v>
      </c>
      <c r="Y46" s="29">
        <f t="shared" si="7"/>
        <v>150000</v>
      </c>
      <c r="Z46" s="29">
        <f t="shared" si="7"/>
        <v>150000</v>
      </c>
      <c r="AA46" s="29">
        <f t="shared" si="7"/>
        <v>150002</v>
      </c>
      <c r="AB46" s="29">
        <f t="shared" si="7"/>
        <v>150000</v>
      </c>
      <c r="AC46" s="50">
        <f t="shared" si="7"/>
        <v>150000</v>
      </c>
      <c r="AD46" s="29">
        <f t="shared" si="7"/>
        <v>150002</v>
      </c>
    </row>
    <row r="47" spans="1:30" outlineLevel="1" x14ac:dyDescent="0.3">
      <c r="A47" s="34" t="s">
        <v>90</v>
      </c>
      <c r="B47" s="71" t="s">
        <v>91</v>
      </c>
      <c r="C47" s="71" t="s">
        <v>15</v>
      </c>
      <c r="D47" s="72">
        <v>5104110</v>
      </c>
      <c r="E47" s="72" t="s">
        <v>92</v>
      </c>
      <c r="F47" s="79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80">
        <v>0</v>
      </c>
      <c r="R47" s="35">
        <f>SUM(S47:AD47)</f>
        <v>4</v>
      </c>
      <c r="S47" s="35">
        <v>0</v>
      </c>
      <c r="T47" s="35">
        <v>0</v>
      </c>
      <c r="U47" s="35">
        <v>1</v>
      </c>
      <c r="V47" s="53">
        <v>0</v>
      </c>
      <c r="W47" s="35">
        <v>0</v>
      </c>
      <c r="X47" s="35">
        <v>1</v>
      </c>
      <c r="Y47" s="35">
        <v>0</v>
      </c>
      <c r="Z47" s="35">
        <v>0</v>
      </c>
      <c r="AA47" s="35">
        <v>1</v>
      </c>
      <c r="AB47" s="35">
        <v>0</v>
      </c>
      <c r="AC47" s="53">
        <v>0</v>
      </c>
      <c r="AD47" s="35">
        <v>1</v>
      </c>
    </row>
    <row r="48" spans="1:30" outlineLevel="1" x14ac:dyDescent="0.3">
      <c r="A48" s="34" t="s">
        <v>93</v>
      </c>
      <c r="B48" s="71" t="s">
        <v>94</v>
      </c>
      <c r="C48" s="71" t="s">
        <v>15</v>
      </c>
      <c r="D48" s="72">
        <v>5104120</v>
      </c>
      <c r="E48" s="72" t="s">
        <v>95</v>
      </c>
      <c r="F48" s="79">
        <v>95864</v>
      </c>
      <c r="G48" s="52">
        <v>0</v>
      </c>
      <c r="H48" s="52">
        <v>147342</v>
      </c>
      <c r="I48" s="52">
        <v>45361</v>
      </c>
      <c r="J48" s="52">
        <v>19900</v>
      </c>
      <c r="K48" s="52">
        <v>100000</v>
      </c>
      <c r="L48" s="52">
        <v>100000</v>
      </c>
      <c r="M48" s="52">
        <v>100000</v>
      </c>
      <c r="N48" s="52">
        <v>100000</v>
      </c>
      <c r="O48" s="52">
        <v>100000</v>
      </c>
      <c r="P48" s="52">
        <v>100000</v>
      </c>
      <c r="Q48" s="52">
        <v>100000</v>
      </c>
      <c r="R48" s="35">
        <f>SUM(S48:AD48)</f>
        <v>1200000</v>
      </c>
      <c r="S48" s="35">
        <v>100000</v>
      </c>
      <c r="T48" s="35">
        <v>100000</v>
      </c>
      <c r="U48" s="35">
        <v>100000</v>
      </c>
      <c r="V48" s="35">
        <v>100000</v>
      </c>
      <c r="W48" s="35">
        <v>100000</v>
      </c>
      <c r="X48" s="35">
        <v>100000</v>
      </c>
      <c r="Y48" s="35">
        <v>100000</v>
      </c>
      <c r="Z48" s="35">
        <v>100000</v>
      </c>
      <c r="AA48" s="35">
        <v>100000</v>
      </c>
      <c r="AB48" s="35">
        <v>100000</v>
      </c>
      <c r="AC48" s="53">
        <v>100000</v>
      </c>
      <c r="AD48" s="35">
        <v>100000</v>
      </c>
    </row>
    <row r="49" spans="1:30" outlineLevel="1" x14ac:dyDescent="0.3">
      <c r="A49" s="34" t="s">
        <v>96</v>
      </c>
      <c r="B49" s="71" t="s">
        <v>97</v>
      </c>
      <c r="C49" s="71" t="s">
        <v>15</v>
      </c>
      <c r="D49" s="72">
        <v>5104130</v>
      </c>
      <c r="E49" s="72" t="s">
        <v>98</v>
      </c>
      <c r="F49" s="79">
        <v>23559</v>
      </c>
      <c r="G49" s="52">
        <v>0</v>
      </c>
      <c r="H49" s="52">
        <v>0</v>
      </c>
      <c r="I49" s="52">
        <v>0</v>
      </c>
      <c r="J49" s="52">
        <v>0</v>
      </c>
      <c r="K49" s="52">
        <v>50000</v>
      </c>
      <c r="L49" s="52">
        <v>50000</v>
      </c>
      <c r="M49" s="52">
        <v>50000</v>
      </c>
      <c r="N49" s="52">
        <v>50000</v>
      </c>
      <c r="O49" s="52">
        <v>50000</v>
      </c>
      <c r="P49" s="52">
        <v>50000</v>
      </c>
      <c r="Q49" s="80">
        <v>50000</v>
      </c>
      <c r="R49" s="35">
        <f>SUM(S49:AD49)</f>
        <v>600000</v>
      </c>
      <c r="S49" s="35">
        <v>50000</v>
      </c>
      <c r="T49" s="35">
        <v>50000</v>
      </c>
      <c r="U49" s="35">
        <v>50000</v>
      </c>
      <c r="V49" s="35">
        <v>50000</v>
      </c>
      <c r="W49" s="35">
        <v>50000</v>
      </c>
      <c r="X49" s="35">
        <v>50000</v>
      </c>
      <c r="Y49" s="35">
        <v>50000</v>
      </c>
      <c r="Z49" s="35">
        <v>50000</v>
      </c>
      <c r="AA49" s="35">
        <v>50000</v>
      </c>
      <c r="AB49" s="35">
        <v>50000</v>
      </c>
      <c r="AC49" s="53">
        <v>50000</v>
      </c>
      <c r="AD49" s="35">
        <v>50000</v>
      </c>
    </row>
    <row r="50" spans="1:30" outlineLevel="1" x14ac:dyDescent="0.3">
      <c r="A50" s="34" t="s">
        <v>99</v>
      </c>
      <c r="B50" s="71" t="s">
        <v>100</v>
      </c>
      <c r="C50" s="71" t="s">
        <v>15</v>
      </c>
      <c r="D50" s="72">
        <v>5104140</v>
      </c>
      <c r="E50" s="72" t="s">
        <v>101</v>
      </c>
      <c r="F50" s="79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80">
        <v>0</v>
      </c>
      <c r="R50" s="35">
        <f>SUM(S50:AD50)</f>
        <v>0</v>
      </c>
      <c r="S50" s="35">
        <v>0</v>
      </c>
      <c r="T50" s="35">
        <v>0</v>
      </c>
      <c r="U50" s="35">
        <v>0</v>
      </c>
      <c r="V50" s="53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53">
        <v>0</v>
      </c>
      <c r="AD50" s="35">
        <v>0</v>
      </c>
    </row>
    <row r="51" spans="1:30" outlineLevel="1" x14ac:dyDescent="0.3">
      <c r="A51" s="34" t="s">
        <v>102</v>
      </c>
      <c r="B51" s="71" t="s">
        <v>102</v>
      </c>
      <c r="C51" s="71" t="s">
        <v>15</v>
      </c>
      <c r="D51" s="72">
        <v>5104150</v>
      </c>
      <c r="E51" s="72" t="s">
        <v>103</v>
      </c>
      <c r="F51" s="79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80">
        <v>0</v>
      </c>
      <c r="R51" s="35">
        <f>SUM(S51:AD51)</f>
        <v>4</v>
      </c>
      <c r="S51" s="35">
        <v>0</v>
      </c>
      <c r="T51" s="35">
        <v>0</v>
      </c>
      <c r="U51" s="35">
        <v>1</v>
      </c>
      <c r="V51" s="53">
        <v>0</v>
      </c>
      <c r="W51" s="35">
        <v>0</v>
      </c>
      <c r="X51" s="35">
        <v>1</v>
      </c>
      <c r="Y51" s="35">
        <v>0</v>
      </c>
      <c r="Z51" s="35">
        <v>0</v>
      </c>
      <c r="AA51" s="35">
        <v>1</v>
      </c>
      <c r="AB51" s="35">
        <v>0</v>
      </c>
      <c r="AC51" s="53">
        <v>0</v>
      </c>
      <c r="AD51" s="35">
        <v>1</v>
      </c>
    </row>
    <row r="52" spans="1:30" x14ac:dyDescent="0.3">
      <c r="A52" s="26" t="s">
        <v>104</v>
      </c>
      <c r="B52" s="73" t="s">
        <v>7</v>
      </c>
      <c r="C52" s="73"/>
      <c r="D52" s="74"/>
      <c r="E52" s="74"/>
      <c r="F52" s="41">
        <f t="shared" ref="F52:J52" si="8">SUM(F53:F59)</f>
        <v>0</v>
      </c>
      <c r="G52" s="49">
        <f t="shared" si="8"/>
        <v>0</v>
      </c>
      <c r="H52" s="49">
        <f t="shared" si="8"/>
        <v>0</v>
      </c>
      <c r="I52" s="49">
        <f t="shared" si="8"/>
        <v>0</v>
      </c>
      <c r="J52" s="49">
        <f t="shared" si="8"/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78">
        <v>0</v>
      </c>
      <c r="R52" s="29">
        <f t="shared" ref="R52:AD52" si="9">SUM(R53:R59)</f>
        <v>0</v>
      </c>
      <c r="S52" s="29">
        <f t="shared" si="9"/>
        <v>0</v>
      </c>
      <c r="T52" s="29">
        <f t="shared" si="9"/>
        <v>0</v>
      </c>
      <c r="U52" s="29">
        <f t="shared" si="9"/>
        <v>0</v>
      </c>
      <c r="V52" s="50">
        <f t="shared" si="9"/>
        <v>0</v>
      </c>
      <c r="W52" s="29">
        <f t="shared" si="9"/>
        <v>0</v>
      </c>
      <c r="X52" s="29">
        <f t="shared" si="9"/>
        <v>0</v>
      </c>
      <c r="Y52" s="29">
        <f t="shared" si="9"/>
        <v>0</v>
      </c>
      <c r="Z52" s="50">
        <f t="shared" si="9"/>
        <v>0</v>
      </c>
      <c r="AA52" s="29">
        <f t="shared" si="9"/>
        <v>0</v>
      </c>
      <c r="AB52" s="29">
        <f t="shared" si="9"/>
        <v>0</v>
      </c>
      <c r="AC52" s="50">
        <f t="shared" si="9"/>
        <v>0</v>
      </c>
      <c r="AD52" s="29">
        <f t="shared" si="9"/>
        <v>0</v>
      </c>
    </row>
    <row r="53" spans="1:30" outlineLevel="1" x14ac:dyDescent="0.3">
      <c r="A53" s="34" t="s">
        <v>105</v>
      </c>
      <c r="B53" s="71" t="s">
        <v>106</v>
      </c>
      <c r="C53" s="71" t="s">
        <v>15</v>
      </c>
      <c r="D53" s="72">
        <v>5105160</v>
      </c>
      <c r="E53" s="72" t="s">
        <v>107</v>
      </c>
      <c r="F53" s="79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80">
        <v>0</v>
      </c>
      <c r="R53" s="35">
        <f t="shared" ref="R53:R59" si="10">SUM(S53:AD53)</f>
        <v>0</v>
      </c>
      <c r="S53" s="35"/>
      <c r="T53" s="35"/>
      <c r="U53" s="35"/>
      <c r="V53" s="35"/>
      <c r="W53" s="35"/>
      <c r="X53" s="35"/>
      <c r="Y53" s="35"/>
      <c r="Z53" s="53"/>
      <c r="AA53" s="35"/>
      <c r="AB53" s="35"/>
      <c r="AC53" s="53"/>
      <c r="AD53" s="35"/>
    </row>
    <row r="54" spans="1:30" outlineLevel="1" x14ac:dyDescent="0.3">
      <c r="A54" s="34" t="s">
        <v>108</v>
      </c>
      <c r="B54" s="71" t="s">
        <v>106</v>
      </c>
      <c r="C54" s="71" t="s">
        <v>15</v>
      </c>
      <c r="D54" s="72">
        <v>5105150</v>
      </c>
      <c r="E54" s="72" t="s">
        <v>107</v>
      </c>
      <c r="F54" s="79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80">
        <v>0</v>
      </c>
      <c r="R54" s="35">
        <f t="shared" si="10"/>
        <v>0</v>
      </c>
      <c r="S54" s="35"/>
      <c r="T54" s="35"/>
      <c r="U54" s="35"/>
      <c r="V54" s="35"/>
      <c r="W54" s="35"/>
      <c r="X54" s="35"/>
      <c r="Y54" s="35"/>
      <c r="Z54" s="53"/>
      <c r="AA54" s="35"/>
      <c r="AB54" s="35"/>
      <c r="AC54" s="53"/>
      <c r="AD54" s="35"/>
    </row>
    <row r="55" spans="1:30" outlineLevel="1" x14ac:dyDescent="0.3">
      <c r="A55" s="34" t="s">
        <v>109</v>
      </c>
      <c r="B55" s="71" t="s">
        <v>110</v>
      </c>
      <c r="C55" s="71" t="s">
        <v>15</v>
      </c>
      <c r="D55" s="72">
        <v>5105140</v>
      </c>
      <c r="E55" s="72" t="s">
        <v>111</v>
      </c>
      <c r="F55" s="79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80">
        <v>0</v>
      </c>
      <c r="R55" s="35">
        <f t="shared" si="10"/>
        <v>0</v>
      </c>
      <c r="S55" s="35"/>
      <c r="T55" s="35"/>
      <c r="U55" s="35"/>
      <c r="V55" s="35"/>
      <c r="W55" s="35"/>
      <c r="X55" s="35"/>
      <c r="Y55" s="35"/>
      <c r="Z55" s="53"/>
      <c r="AA55" s="35"/>
      <c r="AB55" s="35"/>
      <c r="AC55" s="53"/>
      <c r="AD55" s="35"/>
    </row>
    <row r="56" spans="1:30" outlineLevel="1" x14ac:dyDescent="0.3">
      <c r="A56" s="34" t="s">
        <v>112</v>
      </c>
      <c r="B56" s="71" t="s">
        <v>106</v>
      </c>
      <c r="C56" s="71" t="s">
        <v>15</v>
      </c>
      <c r="D56" s="72">
        <v>5105130</v>
      </c>
      <c r="E56" s="72" t="s">
        <v>107</v>
      </c>
      <c r="F56" s="79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80">
        <v>0</v>
      </c>
      <c r="R56" s="35">
        <f t="shared" si="10"/>
        <v>0</v>
      </c>
      <c r="S56" s="35"/>
      <c r="T56" s="35"/>
      <c r="U56" s="35"/>
      <c r="V56" s="35"/>
      <c r="W56" s="35"/>
      <c r="X56" s="35"/>
      <c r="Y56" s="35"/>
      <c r="Z56" s="53"/>
      <c r="AA56" s="35"/>
      <c r="AB56" s="35"/>
      <c r="AC56" s="53"/>
      <c r="AD56" s="35"/>
    </row>
    <row r="57" spans="1:30" outlineLevel="1" x14ac:dyDescent="0.3">
      <c r="A57" s="34" t="s">
        <v>113</v>
      </c>
      <c r="B57" s="71" t="s">
        <v>106</v>
      </c>
      <c r="C57" s="71" t="s">
        <v>15</v>
      </c>
      <c r="D57" s="72">
        <v>5105120</v>
      </c>
      <c r="E57" s="72" t="s">
        <v>107</v>
      </c>
      <c r="F57" s="79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80">
        <v>0</v>
      </c>
      <c r="R57" s="35">
        <f t="shared" si="10"/>
        <v>0</v>
      </c>
      <c r="S57" s="35"/>
      <c r="T57" s="35"/>
      <c r="U57" s="35"/>
      <c r="V57" s="35"/>
      <c r="W57" s="35"/>
      <c r="X57" s="35"/>
      <c r="Y57" s="35"/>
      <c r="Z57" s="53"/>
      <c r="AA57" s="35"/>
      <c r="AB57" s="35"/>
      <c r="AC57" s="53"/>
      <c r="AD57" s="35"/>
    </row>
    <row r="58" spans="1:30" outlineLevel="1" x14ac:dyDescent="0.3">
      <c r="A58" s="34" t="s">
        <v>114</v>
      </c>
      <c r="B58" s="71" t="s">
        <v>106</v>
      </c>
      <c r="C58" s="71" t="s">
        <v>15</v>
      </c>
      <c r="D58" s="72">
        <v>5105110</v>
      </c>
      <c r="E58" s="72" t="s">
        <v>107</v>
      </c>
      <c r="F58" s="79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80">
        <v>0</v>
      </c>
      <c r="R58" s="35">
        <f t="shared" si="10"/>
        <v>0</v>
      </c>
      <c r="S58" s="35"/>
      <c r="T58" s="35"/>
      <c r="U58" s="35"/>
      <c r="V58" s="35"/>
      <c r="W58" s="35"/>
      <c r="X58" s="35"/>
      <c r="Y58" s="35"/>
      <c r="Z58" s="53"/>
      <c r="AA58" s="35"/>
      <c r="AB58" s="35"/>
      <c r="AC58" s="53"/>
      <c r="AD58" s="35"/>
    </row>
    <row r="59" spans="1:30" outlineLevel="1" x14ac:dyDescent="0.3">
      <c r="A59" s="34" t="s">
        <v>115</v>
      </c>
      <c r="B59" s="71" t="s">
        <v>106</v>
      </c>
      <c r="C59" s="71" t="s">
        <v>15</v>
      </c>
      <c r="D59" s="72">
        <v>5105111</v>
      </c>
      <c r="E59" s="72" t="s">
        <v>107</v>
      </c>
      <c r="F59" s="79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80">
        <v>0</v>
      </c>
      <c r="R59" s="35">
        <f t="shared" si="10"/>
        <v>0</v>
      </c>
      <c r="S59" s="35"/>
      <c r="T59" s="35"/>
      <c r="U59" s="35"/>
      <c r="V59" s="35"/>
      <c r="W59" s="35"/>
      <c r="X59" s="35"/>
      <c r="Y59" s="35"/>
      <c r="Z59" s="53"/>
      <c r="AA59" s="35"/>
      <c r="AB59" s="35"/>
      <c r="AC59" s="53"/>
      <c r="AD59" s="35"/>
    </row>
    <row r="60" spans="1:30" x14ac:dyDescent="0.3">
      <c r="A60" s="26" t="s">
        <v>116</v>
      </c>
      <c r="B60" s="73" t="s">
        <v>7</v>
      </c>
      <c r="C60" s="73"/>
      <c r="D60" s="74"/>
      <c r="E60" s="74"/>
      <c r="F60" s="41">
        <f t="shared" ref="F60:J60" si="11">SUM(F61:F67)</f>
        <v>0</v>
      </c>
      <c r="G60" s="49">
        <f t="shared" si="11"/>
        <v>0</v>
      </c>
      <c r="H60" s="49">
        <f t="shared" si="11"/>
        <v>0</v>
      </c>
      <c r="I60" s="49">
        <f t="shared" si="11"/>
        <v>0</v>
      </c>
      <c r="J60" s="49">
        <f t="shared" si="11"/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78">
        <v>0</v>
      </c>
      <c r="R60" s="29">
        <f t="shared" ref="R60:AD60" si="12">SUM(R61:R67)</f>
        <v>0</v>
      </c>
      <c r="S60" s="29">
        <f t="shared" si="12"/>
        <v>0</v>
      </c>
      <c r="T60" s="29">
        <f t="shared" si="12"/>
        <v>0</v>
      </c>
      <c r="U60" s="29">
        <f t="shared" si="12"/>
        <v>0</v>
      </c>
      <c r="V60" s="29">
        <f t="shared" si="12"/>
        <v>0</v>
      </c>
      <c r="W60" s="29">
        <f t="shared" si="12"/>
        <v>0</v>
      </c>
      <c r="X60" s="29">
        <f t="shared" si="12"/>
        <v>0</v>
      </c>
      <c r="Y60" s="29">
        <f t="shared" si="12"/>
        <v>0</v>
      </c>
      <c r="Z60" s="50">
        <f t="shared" si="12"/>
        <v>0</v>
      </c>
      <c r="AA60" s="29">
        <f t="shared" si="12"/>
        <v>0</v>
      </c>
      <c r="AB60" s="29">
        <f t="shared" si="12"/>
        <v>0</v>
      </c>
      <c r="AC60" s="50">
        <f t="shared" si="12"/>
        <v>0</v>
      </c>
      <c r="AD60" s="29">
        <f t="shared" si="12"/>
        <v>0</v>
      </c>
    </row>
    <row r="61" spans="1:30" outlineLevel="1" x14ac:dyDescent="0.3">
      <c r="A61" s="34" t="s">
        <v>117</v>
      </c>
      <c r="B61" s="71" t="s">
        <v>118</v>
      </c>
      <c r="C61" s="71" t="s">
        <v>27</v>
      </c>
      <c r="D61" s="72">
        <v>5106110</v>
      </c>
      <c r="E61" s="72" t="s">
        <v>119</v>
      </c>
      <c r="F61" s="79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80">
        <v>0</v>
      </c>
      <c r="R61" s="35">
        <f t="shared" ref="R61:R67" si="13">SUM(S61:AD61)</f>
        <v>0</v>
      </c>
      <c r="S61" s="35">
        <v>0</v>
      </c>
      <c r="T61" s="35">
        <v>0</v>
      </c>
      <c r="U61" s="35">
        <v>0</v>
      </c>
      <c r="V61" s="53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53">
        <v>0</v>
      </c>
      <c r="AD61" s="35"/>
    </row>
    <row r="62" spans="1:30" outlineLevel="1" x14ac:dyDescent="0.3">
      <c r="A62" s="34" t="s">
        <v>120</v>
      </c>
      <c r="B62" s="71" t="s">
        <v>118</v>
      </c>
      <c r="C62" s="71" t="s">
        <v>15</v>
      </c>
      <c r="D62" s="72">
        <v>5106120</v>
      </c>
      <c r="E62" s="72" t="s">
        <v>119</v>
      </c>
      <c r="F62" s="79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80">
        <v>0</v>
      </c>
      <c r="R62" s="35">
        <f t="shared" si="13"/>
        <v>0</v>
      </c>
      <c r="S62" s="35">
        <v>0</v>
      </c>
      <c r="T62" s="35">
        <v>0</v>
      </c>
      <c r="U62" s="35">
        <v>0</v>
      </c>
      <c r="V62" s="53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53">
        <v>0</v>
      </c>
      <c r="AD62" s="35"/>
    </row>
    <row r="63" spans="1:30" outlineLevel="1" x14ac:dyDescent="0.3">
      <c r="A63" s="34" t="s">
        <v>121</v>
      </c>
      <c r="B63" s="71" t="s">
        <v>118</v>
      </c>
      <c r="C63" s="71" t="s">
        <v>27</v>
      </c>
      <c r="D63" s="72">
        <v>5106130</v>
      </c>
      <c r="E63" s="72" t="s">
        <v>119</v>
      </c>
      <c r="F63" s="79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80">
        <v>0</v>
      </c>
      <c r="R63" s="35">
        <f t="shared" si="13"/>
        <v>0</v>
      </c>
      <c r="S63" s="35">
        <v>0</v>
      </c>
      <c r="T63" s="35">
        <v>0</v>
      </c>
      <c r="U63" s="35">
        <v>0</v>
      </c>
      <c r="V63" s="53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53">
        <v>0</v>
      </c>
      <c r="AD63" s="35"/>
    </row>
    <row r="64" spans="1:30" outlineLevel="1" x14ac:dyDescent="0.3">
      <c r="A64" s="34" t="s">
        <v>122</v>
      </c>
      <c r="B64" s="71" t="s">
        <v>7</v>
      </c>
      <c r="C64" s="71" t="s">
        <v>27</v>
      </c>
      <c r="D64" s="72">
        <v>5106140</v>
      </c>
      <c r="E64" s="72" t="s">
        <v>119</v>
      </c>
      <c r="F64" s="79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80">
        <v>0</v>
      </c>
      <c r="R64" s="35">
        <f t="shared" si="13"/>
        <v>0</v>
      </c>
      <c r="S64" s="35">
        <v>0</v>
      </c>
      <c r="T64" s="35">
        <v>0</v>
      </c>
      <c r="U64" s="35">
        <v>0</v>
      </c>
      <c r="V64" s="53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53">
        <v>0</v>
      </c>
      <c r="AD64" s="35"/>
    </row>
    <row r="65" spans="1:30" outlineLevel="1" x14ac:dyDescent="0.3">
      <c r="A65" s="34" t="s">
        <v>123</v>
      </c>
      <c r="B65" s="71" t="s">
        <v>118</v>
      </c>
      <c r="C65" s="71" t="s">
        <v>15</v>
      </c>
      <c r="D65" s="72">
        <v>5106150</v>
      </c>
      <c r="E65" s="72" t="s">
        <v>119</v>
      </c>
      <c r="F65" s="79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80">
        <v>0</v>
      </c>
      <c r="R65" s="35">
        <f t="shared" si="13"/>
        <v>0</v>
      </c>
      <c r="S65" s="35">
        <v>0</v>
      </c>
      <c r="T65" s="35">
        <v>0</v>
      </c>
      <c r="U65" s="35">
        <v>0</v>
      </c>
      <c r="V65" s="53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53">
        <v>0</v>
      </c>
      <c r="AD65" s="35"/>
    </row>
    <row r="66" spans="1:30" outlineLevel="1" x14ac:dyDescent="0.3">
      <c r="A66" s="34" t="s">
        <v>124</v>
      </c>
      <c r="B66" s="71" t="s">
        <v>7</v>
      </c>
      <c r="C66" s="71" t="s">
        <v>27</v>
      </c>
      <c r="D66" s="72">
        <v>5106160</v>
      </c>
      <c r="E66" s="72" t="s">
        <v>119</v>
      </c>
      <c r="F66" s="79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80">
        <v>0</v>
      </c>
      <c r="R66" s="35">
        <f t="shared" si="13"/>
        <v>0</v>
      </c>
      <c r="S66" s="35">
        <v>0</v>
      </c>
      <c r="T66" s="35">
        <v>0</v>
      </c>
      <c r="U66" s="35">
        <v>0</v>
      </c>
      <c r="V66" s="53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53">
        <v>0</v>
      </c>
      <c r="AD66" s="35"/>
    </row>
    <row r="67" spans="1:30" outlineLevel="1" x14ac:dyDescent="0.3">
      <c r="A67" s="34" t="s">
        <v>125</v>
      </c>
      <c r="B67" s="71" t="s">
        <v>118</v>
      </c>
      <c r="C67" s="71" t="s">
        <v>15</v>
      </c>
      <c r="D67" s="72">
        <v>5106141</v>
      </c>
      <c r="E67" s="72" t="s">
        <v>119</v>
      </c>
      <c r="F67" s="79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80">
        <v>0</v>
      </c>
      <c r="R67" s="35">
        <f t="shared" si="13"/>
        <v>0</v>
      </c>
      <c r="S67" s="35">
        <v>0</v>
      </c>
      <c r="T67" s="35">
        <v>0</v>
      </c>
      <c r="U67" s="35">
        <v>0</v>
      </c>
      <c r="V67" s="53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53">
        <v>0</v>
      </c>
      <c r="AD67" s="35"/>
    </row>
    <row r="68" spans="1:30" x14ac:dyDescent="0.3">
      <c r="A68" s="26" t="s">
        <v>126</v>
      </c>
      <c r="B68" s="73" t="s">
        <v>7</v>
      </c>
      <c r="C68" s="73"/>
      <c r="D68" s="74"/>
      <c r="E68" s="74"/>
      <c r="F68" s="41">
        <f t="shared" ref="F68:J68" si="14">SUM(F69:F78)</f>
        <v>0</v>
      </c>
      <c r="G68" s="49">
        <f t="shared" si="14"/>
        <v>0</v>
      </c>
      <c r="H68" s="49">
        <f t="shared" si="14"/>
        <v>0</v>
      </c>
      <c r="I68" s="49">
        <f t="shared" si="14"/>
        <v>0</v>
      </c>
      <c r="J68" s="49">
        <f t="shared" si="14"/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78">
        <v>0</v>
      </c>
      <c r="R68" s="29">
        <f t="shared" ref="R68:AD68" si="15">SUM(R69:R78)</f>
        <v>0</v>
      </c>
      <c r="S68" s="29">
        <f t="shared" si="15"/>
        <v>0</v>
      </c>
      <c r="T68" s="29">
        <f t="shared" si="15"/>
        <v>0</v>
      </c>
      <c r="U68" s="29">
        <f t="shared" si="15"/>
        <v>0</v>
      </c>
      <c r="V68" s="29">
        <f t="shared" si="15"/>
        <v>0</v>
      </c>
      <c r="W68" s="29">
        <f t="shared" si="15"/>
        <v>0</v>
      </c>
      <c r="X68" s="29">
        <f t="shared" si="15"/>
        <v>0</v>
      </c>
      <c r="Y68" s="29">
        <f t="shared" si="15"/>
        <v>0</v>
      </c>
      <c r="Z68" s="29">
        <f t="shared" si="15"/>
        <v>0</v>
      </c>
      <c r="AA68" s="29">
        <f t="shared" si="15"/>
        <v>0</v>
      </c>
      <c r="AB68" s="29">
        <f t="shared" si="15"/>
        <v>0</v>
      </c>
      <c r="AC68" s="29">
        <f t="shared" si="15"/>
        <v>0</v>
      </c>
      <c r="AD68" s="29">
        <f t="shared" si="15"/>
        <v>0</v>
      </c>
    </row>
    <row r="69" spans="1:30" outlineLevel="1" x14ac:dyDescent="0.3">
      <c r="A69" s="34" t="s">
        <v>127</v>
      </c>
      <c r="B69" s="71" t="s">
        <v>128</v>
      </c>
      <c r="C69" s="71" t="s">
        <v>15</v>
      </c>
      <c r="D69" s="72">
        <v>5107110</v>
      </c>
      <c r="E69" s="72" t="s">
        <v>129</v>
      </c>
      <c r="F69" s="79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80">
        <v>0</v>
      </c>
      <c r="R69" s="35">
        <f t="shared" ref="R69:R78" si="16">SUM(S69:AD69)</f>
        <v>0</v>
      </c>
      <c r="S69" s="35">
        <v>0</v>
      </c>
      <c r="T69" s="35">
        <v>0</v>
      </c>
      <c r="U69" s="35">
        <v>0</v>
      </c>
      <c r="V69" s="53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53">
        <v>0</v>
      </c>
      <c r="AD69" s="35"/>
    </row>
    <row r="70" spans="1:30" outlineLevel="1" x14ac:dyDescent="0.3">
      <c r="A70" s="34" t="s">
        <v>130</v>
      </c>
      <c r="B70" s="71" t="s">
        <v>128</v>
      </c>
      <c r="C70" s="71" t="s">
        <v>15</v>
      </c>
      <c r="D70" s="72">
        <v>5107130</v>
      </c>
      <c r="E70" s="72" t="s">
        <v>129</v>
      </c>
      <c r="F70" s="79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80">
        <v>0</v>
      </c>
      <c r="R70" s="35">
        <f t="shared" si="16"/>
        <v>0</v>
      </c>
      <c r="S70" s="35">
        <v>0</v>
      </c>
      <c r="T70" s="35">
        <v>0</v>
      </c>
      <c r="U70" s="35">
        <v>0</v>
      </c>
      <c r="V70" s="53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v>0</v>
      </c>
      <c r="AC70" s="53">
        <v>0</v>
      </c>
      <c r="AD70" s="35"/>
    </row>
    <row r="71" spans="1:30" outlineLevel="1" x14ac:dyDescent="0.3">
      <c r="A71" s="40" t="s">
        <v>131</v>
      </c>
      <c r="B71" s="71" t="s">
        <v>128</v>
      </c>
      <c r="C71" s="71" t="s">
        <v>15</v>
      </c>
      <c r="D71" s="72">
        <v>5107120</v>
      </c>
      <c r="E71" s="72" t="s">
        <v>129</v>
      </c>
      <c r="F71" s="79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80">
        <v>0</v>
      </c>
      <c r="R71" s="35">
        <f t="shared" si="16"/>
        <v>0</v>
      </c>
      <c r="S71" s="35">
        <v>0</v>
      </c>
      <c r="T71" s="35">
        <v>0</v>
      </c>
      <c r="U71" s="35">
        <v>0</v>
      </c>
      <c r="V71" s="53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53">
        <v>0</v>
      </c>
      <c r="AD71" s="35"/>
    </row>
    <row r="72" spans="1:30" outlineLevel="1" x14ac:dyDescent="0.3">
      <c r="A72" s="34" t="s">
        <v>132</v>
      </c>
      <c r="B72" s="71" t="s">
        <v>128</v>
      </c>
      <c r="C72" s="71" t="s">
        <v>15</v>
      </c>
      <c r="D72" s="72">
        <v>5107140</v>
      </c>
      <c r="E72" s="72" t="s">
        <v>129</v>
      </c>
      <c r="F72" s="79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80">
        <v>0</v>
      </c>
      <c r="R72" s="35">
        <f t="shared" si="16"/>
        <v>0</v>
      </c>
      <c r="S72" s="35">
        <v>0</v>
      </c>
      <c r="T72" s="35">
        <v>0</v>
      </c>
      <c r="U72" s="35">
        <v>0</v>
      </c>
      <c r="V72" s="53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53">
        <v>0</v>
      </c>
      <c r="AD72" s="35"/>
    </row>
    <row r="73" spans="1:30" outlineLevel="1" x14ac:dyDescent="0.3">
      <c r="A73" s="34" t="s">
        <v>133</v>
      </c>
      <c r="B73" s="71" t="s">
        <v>128</v>
      </c>
      <c r="C73" s="71" t="s">
        <v>15</v>
      </c>
      <c r="D73" s="72">
        <v>5107150</v>
      </c>
      <c r="E73" s="72" t="s">
        <v>129</v>
      </c>
      <c r="F73" s="79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80">
        <v>0</v>
      </c>
      <c r="R73" s="35">
        <f t="shared" si="16"/>
        <v>0</v>
      </c>
      <c r="S73" s="35">
        <v>0</v>
      </c>
      <c r="T73" s="35">
        <v>0</v>
      </c>
      <c r="U73" s="35">
        <v>0</v>
      </c>
      <c r="V73" s="53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53">
        <v>0</v>
      </c>
      <c r="AD73" s="35"/>
    </row>
    <row r="74" spans="1:30" outlineLevel="1" x14ac:dyDescent="0.3">
      <c r="A74" s="34" t="s">
        <v>134</v>
      </c>
      <c r="B74" s="71" t="s">
        <v>128</v>
      </c>
      <c r="C74" s="71" t="s">
        <v>15</v>
      </c>
      <c r="D74" s="72">
        <v>5107160</v>
      </c>
      <c r="E74" s="72" t="s">
        <v>129</v>
      </c>
      <c r="F74" s="79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80">
        <v>0</v>
      </c>
      <c r="R74" s="35">
        <f t="shared" si="16"/>
        <v>0</v>
      </c>
      <c r="S74" s="35">
        <v>0</v>
      </c>
      <c r="T74" s="35">
        <v>0</v>
      </c>
      <c r="U74" s="35">
        <v>0</v>
      </c>
      <c r="V74" s="53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53">
        <v>0</v>
      </c>
      <c r="AD74" s="35"/>
    </row>
    <row r="75" spans="1:30" outlineLevel="1" x14ac:dyDescent="0.3">
      <c r="A75" s="34" t="s">
        <v>135</v>
      </c>
      <c r="B75" s="71" t="s">
        <v>128</v>
      </c>
      <c r="C75" s="71" t="s">
        <v>15</v>
      </c>
      <c r="D75" s="72">
        <v>5107170</v>
      </c>
      <c r="E75" s="72" t="s">
        <v>129</v>
      </c>
      <c r="F75" s="79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  <c r="Q75" s="80">
        <v>0</v>
      </c>
      <c r="R75" s="35">
        <f t="shared" si="16"/>
        <v>0</v>
      </c>
      <c r="S75" s="35">
        <v>0</v>
      </c>
      <c r="T75" s="35">
        <v>0</v>
      </c>
      <c r="U75" s="35">
        <v>0</v>
      </c>
      <c r="V75" s="53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53">
        <v>0</v>
      </c>
      <c r="AD75" s="35"/>
    </row>
    <row r="76" spans="1:30" outlineLevel="1" x14ac:dyDescent="0.3">
      <c r="A76" s="34" t="s">
        <v>136</v>
      </c>
      <c r="B76" s="71" t="s">
        <v>128</v>
      </c>
      <c r="C76" s="71" t="s">
        <v>15</v>
      </c>
      <c r="D76" s="72">
        <v>5107180</v>
      </c>
      <c r="E76" s="72" t="s">
        <v>129</v>
      </c>
      <c r="F76" s="79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80">
        <v>0</v>
      </c>
      <c r="R76" s="35">
        <f t="shared" si="16"/>
        <v>0</v>
      </c>
      <c r="S76" s="35">
        <v>0</v>
      </c>
      <c r="T76" s="35">
        <v>0</v>
      </c>
      <c r="U76" s="35">
        <v>0</v>
      </c>
      <c r="V76" s="53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53">
        <v>0</v>
      </c>
      <c r="AD76" s="35"/>
    </row>
    <row r="77" spans="1:30" outlineLevel="1" x14ac:dyDescent="0.3">
      <c r="A77" s="64" t="s">
        <v>137</v>
      </c>
      <c r="B77" s="71" t="s">
        <v>138</v>
      </c>
      <c r="C77" s="71" t="s">
        <v>15</v>
      </c>
      <c r="D77" s="72">
        <v>5107190</v>
      </c>
      <c r="E77" s="72" t="s">
        <v>129</v>
      </c>
      <c r="F77" s="79">
        <v>0</v>
      </c>
      <c r="G77" s="52">
        <v>0</v>
      </c>
      <c r="H77" s="52">
        <v>0</v>
      </c>
      <c r="I77" s="81">
        <v>0</v>
      </c>
      <c r="J77" s="81">
        <v>0</v>
      </c>
      <c r="K77" s="8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  <c r="Q77" s="80">
        <v>0</v>
      </c>
      <c r="R77" s="35">
        <f t="shared" si="16"/>
        <v>0</v>
      </c>
      <c r="S77" s="35">
        <v>0</v>
      </c>
      <c r="T77" s="35">
        <v>0</v>
      </c>
      <c r="U77" s="35">
        <v>0</v>
      </c>
      <c r="V77" s="53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53">
        <v>0</v>
      </c>
      <c r="AD77" s="35"/>
    </row>
    <row r="78" spans="1:30" outlineLevel="1" x14ac:dyDescent="0.3">
      <c r="A78" s="34" t="s">
        <v>139</v>
      </c>
      <c r="B78" s="71" t="s">
        <v>140</v>
      </c>
      <c r="C78" s="71" t="s">
        <v>15</v>
      </c>
      <c r="D78" s="72">
        <v>5107210</v>
      </c>
      <c r="E78" s="72" t="s">
        <v>141</v>
      </c>
      <c r="F78" s="79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80">
        <v>0</v>
      </c>
      <c r="R78" s="35">
        <f t="shared" si="16"/>
        <v>0</v>
      </c>
      <c r="S78" s="35">
        <v>0</v>
      </c>
      <c r="T78" s="35">
        <v>0</v>
      </c>
      <c r="U78" s="35">
        <v>0</v>
      </c>
      <c r="V78" s="53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53">
        <v>0</v>
      </c>
      <c r="AD78" s="35"/>
    </row>
    <row r="79" spans="1:30" x14ac:dyDescent="0.3">
      <c r="A79" s="26" t="s">
        <v>142</v>
      </c>
      <c r="B79" s="73" t="s">
        <v>7</v>
      </c>
      <c r="C79" s="73"/>
      <c r="D79" s="74"/>
      <c r="E79" s="74"/>
      <c r="F79" s="41">
        <f t="shared" ref="F79:J79" si="17">SUM(F80:F87)</f>
        <v>0</v>
      </c>
      <c r="G79" s="49">
        <f t="shared" si="17"/>
        <v>0</v>
      </c>
      <c r="H79" s="49">
        <f t="shared" si="17"/>
        <v>0</v>
      </c>
      <c r="I79" s="49">
        <f t="shared" si="17"/>
        <v>0</v>
      </c>
      <c r="J79" s="49">
        <f t="shared" si="17"/>
        <v>0</v>
      </c>
      <c r="K79" s="49">
        <v>0</v>
      </c>
      <c r="L79" s="49">
        <v>0</v>
      </c>
      <c r="M79" s="49">
        <v>0</v>
      </c>
      <c r="N79" s="49">
        <v>0</v>
      </c>
      <c r="O79" s="49">
        <v>0</v>
      </c>
      <c r="P79" s="49">
        <v>0</v>
      </c>
      <c r="Q79" s="78">
        <v>0</v>
      </c>
      <c r="R79" s="29">
        <f t="shared" ref="R79:AD79" si="18">SUM(R80:R87)</f>
        <v>0</v>
      </c>
      <c r="S79" s="29">
        <f t="shared" si="18"/>
        <v>0</v>
      </c>
      <c r="T79" s="29">
        <f t="shared" si="18"/>
        <v>0</v>
      </c>
      <c r="U79" s="29">
        <f t="shared" si="18"/>
        <v>0</v>
      </c>
      <c r="V79" s="29">
        <f t="shared" si="18"/>
        <v>0</v>
      </c>
      <c r="W79" s="29">
        <f t="shared" si="18"/>
        <v>0</v>
      </c>
      <c r="X79" s="29">
        <f t="shared" si="18"/>
        <v>0</v>
      </c>
      <c r="Y79" s="29">
        <f t="shared" si="18"/>
        <v>0</v>
      </c>
      <c r="Z79" s="29">
        <f t="shared" si="18"/>
        <v>0</v>
      </c>
      <c r="AA79" s="29">
        <f t="shared" si="18"/>
        <v>0</v>
      </c>
      <c r="AB79" s="29">
        <f t="shared" si="18"/>
        <v>0</v>
      </c>
      <c r="AC79" s="29">
        <f t="shared" si="18"/>
        <v>0</v>
      </c>
      <c r="AD79" s="29">
        <f t="shared" si="18"/>
        <v>0</v>
      </c>
    </row>
    <row r="80" spans="1:30" outlineLevel="1" x14ac:dyDescent="0.3">
      <c r="A80" s="34" t="s">
        <v>143</v>
      </c>
      <c r="B80" s="71" t="s">
        <v>144</v>
      </c>
      <c r="C80" s="71" t="s">
        <v>15</v>
      </c>
      <c r="D80" s="72">
        <v>5108110</v>
      </c>
      <c r="E80" s="72" t="s">
        <v>145</v>
      </c>
      <c r="F80" s="79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2">
        <v>0</v>
      </c>
      <c r="P80" s="52">
        <v>0</v>
      </c>
      <c r="Q80" s="80">
        <v>0</v>
      </c>
      <c r="R80" s="35">
        <f t="shared" ref="R80:R87" si="19">SUM(S80:AD80)</f>
        <v>0</v>
      </c>
      <c r="S80" s="35">
        <v>0</v>
      </c>
      <c r="T80" s="35">
        <v>0</v>
      </c>
      <c r="U80" s="35">
        <v>0</v>
      </c>
      <c r="V80" s="53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v>0</v>
      </c>
      <c r="AC80" s="53">
        <v>0</v>
      </c>
      <c r="AD80" s="35"/>
    </row>
    <row r="81" spans="1:30" outlineLevel="1" x14ac:dyDescent="0.3">
      <c r="A81" s="34" t="s">
        <v>146</v>
      </c>
      <c r="B81" s="71" t="s">
        <v>144</v>
      </c>
      <c r="C81" s="71" t="s">
        <v>15</v>
      </c>
      <c r="D81" s="72">
        <v>5108120</v>
      </c>
      <c r="E81" s="72" t="s">
        <v>145</v>
      </c>
      <c r="F81" s="79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80">
        <v>0</v>
      </c>
      <c r="R81" s="35">
        <f t="shared" si="19"/>
        <v>0</v>
      </c>
      <c r="S81" s="35">
        <v>0</v>
      </c>
      <c r="T81" s="35">
        <v>0</v>
      </c>
      <c r="U81" s="35">
        <v>0</v>
      </c>
      <c r="V81" s="53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53">
        <v>0</v>
      </c>
      <c r="AD81" s="35"/>
    </row>
    <row r="82" spans="1:30" outlineLevel="1" x14ac:dyDescent="0.3">
      <c r="A82" s="34" t="s">
        <v>147</v>
      </c>
      <c r="B82" s="71" t="s">
        <v>144</v>
      </c>
      <c r="C82" s="71" t="s">
        <v>15</v>
      </c>
      <c r="D82" s="72">
        <v>5108130</v>
      </c>
      <c r="E82" s="72" t="s">
        <v>145</v>
      </c>
      <c r="F82" s="79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80">
        <v>0</v>
      </c>
      <c r="R82" s="35">
        <f t="shared" si="19"/>
        <v>0</v>
      </c>
      <c r="S82" s="35">
        <v>0</v>
      </c>
      <c r="T82" s="35">
        <v>0</v>
      </c>
      <c r="U82" s="35">
        <v>0</v>
      </c>
      <c r="V82" s="53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53">
        <v>0</v>
      </c>
      <c r="AD82" s="35"/>
    </row>
    <row r="83" spans="1:30" outlineLevel="1" x14ac:dyDescent="0.3">
      <c r="A83" s="34" t="s">
        <v>148</v>
      </c>
      <c r="B83" s="71" t="s">
        <v>144</v>
      </c>
      <c r="C83" s="71" t="s">
        <v>15</v>
      </c>
      <c r="D83" s="72">
        <v>5108140</v>
      </c>
      <c r="E83" s="72" t="s">
        <v>145</v>
      </c>
      <c r="F83" s="79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  <c r="Q83" s="80">
        <v>0</v>
      </c>
      <c r="R83" s="35">
        <f t="shared" si="19"/>
        <v>0</v>
      </c>
      <c r="S83" s="35">
        <v>0</v>
      </c>
      <c r="T83" s="35">
        <v>0</v>
      </c>
      <c r="U83" s="35">
        <v>0</v>
      </c>
      <c r="V83" s="53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  <c r="AB83" s="35">
        <v>0</v>
      </c>
      <c r="AC83" s="53">
        <v>0</v>
      </c>
      <c r="AD83" s="35"/>
    </row>
    <row r="84" spans="1:30" outlineLevel="1" x14ac:dyDescent="0.3">
      <c r="A84" s="34" t="s">
        <v>149</v>
      </c>
      <c r="B84" s="71" t="s">
        <v>150</v>
      </c>
      <c r="C84" s="71" t="s">
        <v>15</v>
      </c>
      <c r="D84" s="72">
        <v>5108150</v>
      </c>
      <c r="E84" s="72" t="s">
        <v>151</v>
      </c>
      <c r="F84" s="79">
        <v>0</v>
      </c>
      <c r="G84" s="52">
        <v>0</v>
      </c>
      <c r="H84" s="52">
        <v>0</v>
      </c>
      <c r="I84" s="52">
        <v>0</v>
      </c>
      <c r="J84" s="52">
        <v>0</v>
      </c>
      <c r="K84" s="52">
        <v>0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  <c r="Q84" s="80">
        <v>0</v>
      </c>
      <c r="R84" s="35">
        <f t="shared" si="19"/>
        <v>0</v>
      </c>
      <c r="S84" s="35">
        <v>0</v>
      </c>
      <c r="T84" s="35">
        <v>0</v>
      </c>
      <c r="U84" s="35">
        <v>0</v>
      </c>
      <c r="V84" s="53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53">
        <v>0</v>
      </c>
      <c r="AD84" s="35"/>
    </row>
    <row r="85" spans="1:30" outlineLevel="1" x14ac:dyDescent="0.3">
      <c r="A85" s="34" t="s">
        <v>152</v>
      </c>
      <c r="B85" s="71" t="s">
        <v>144</v>
      </c>
      <c r="C85" s="71" t="s">
        <v>15</v>
      </c>
      <c r="D85" s="72">
        <v>5108160</v>
      </c>
      <c r="E85" s="72" t="s">
        <v>145</v>
      </c>
      <c r="F85" s="79">
        <v>0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2">
        <v>0</v>
      </c>
      <c r="M85" s="52">
        <v>0</v>
      </c>
      <c r="N85" s="52">
        <v>0</v>
      </c>
      <c r="O85" s="52">
        <v>0</v>
      </c>
      <c r="P85" s="52">
        <v>0</v>
      </c>
      <c r="Q85" s="80">
        <v>0</v>
      </c>
      <c r="R85" s="35">
        <f t="shared" si="19"/>
        <v>0</v>
      </c>
      <c r="S85" s="35">
        <v>0</v>
      </c>
      <c r="T85" s="35">
        <v>0</v>
      </c>
      <c r="U85" s="35">
        <v>0</v>
      </c>
      <c r="V85" s="53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53">
        <v>0</v>
      </c>
      <c r="AD85" s="35"/>
    </row>
    <row r="86" spans="1:30" outlineLevel="1" x14ac:dyDescent="0.3">
      <c r="A86" s="34" t="s">
        <v>153</v>
      </c>
      <c r="B86" s="71" t="s">
        <v>153</v>
      </c>
      <c r="C86" s="71" t="s">
        <v>15</v>
      </c>
      <c r="D86" s="72">
        <v>5108161</v>
      </c>
      <c r="E86" s="72" t="s">
        <v>154</v>
      </c>
      <c r="F86" s="79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80">
        <v>0</v>
      </c>
      <c r="R86" s="35">
        <f t="shared" si="19"/>
        <v>0</v>
      </c>
      <c r="S86" s="35">
        <v>0</v>
      </c>
      <c r="T86" s="35">
        <v>0</v>
      </c>
      <c r="U86" s="35">
        <v>0</v>
      </c>
      <c r="V86" s="53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53">
        <v>0</v>
      </c>
      <c r="AD86" s="35"/>
    </row>
    <row r="87" spans="1:30" outlineLevel="1" x14ac:dyDescent="0.3">
      <c r="A87" s="34" t="s">
        <v>155</v>
      </c>
      <c r="B87" s="71" t="s">
        <v>155</v>
      </c>
      <c r="C87" s="71" t="s">
        <v>15</v>
      </c>
      <c r="D87" s="72">
        <v>5108162</v>
      </c>
      <c r="E87" s="72" t="s">
        <v>156</v>
      </c>
      <c r="F87" s="79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80">
        <v>0</v>
      </c>
      <c r="R87" s="35">
        <f t="shared" si="19"/>
        <v>0</v>
      </c>
      <c r="S87" s="35">
        <v>0</v>
      </c>
      <c r="T87" s="35">
        <v>0</v>
      </c>
      <c r="U87" s="35">
        <v>0</v>
      </c>
      <c r="V87" s="53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53">
        <v>0</v>
      </c>
      <c r="AD87" s="35"/>
    </row>
    <row r="88" spans="1:30" x14ac:dyDescent="0.3">
      <c r="A88" s="26" t="s">
        <v>157</v>
      </c>
      <c r="B88" s="73" t="s">
        <v>7</v>
      </c>
      <c r="C88" s="73"/>
      <c r="D88" s="74"/>
      <c r="E88" s="74"/>
      <c r="F88" s="41">
        <f t="shared" ref="F88:J88" si="20">SUM(F89:F99)</f>
        <v>4059180</v>
      </c>
      <c r="G88" s="49">
        <f t="shared" si="20"/>
        <v>4059180</v>
      </c>
      <c r="H88" s="49">
        <f t="shared" si="20"/>
        <v>4059180</v>
      </c>
      <c r="I88" s="49">
        <f t="shared" si="20"/>
        <v>4059180</v>
      </c>
      <c r="J88" s="49">
        <f t="shared" si="20"/>
        <v>4059180</v>
      </c>
      <c r="K88" s="49">
        <v>4059180</v>
      </c>
      <c r="L88" s="49">
        <v>4059180</v>
      </c>
      <c r="M88" s="49">
        <v>4059180</v>
      </c>
      <c r="N88" s="49">
        <v>4059180</v>
      </c>
      <c r="O88" s="49">
        <v>4059180</v>
      </c>
      <c r="P88" s="49">
        <v>4059180</v>
      </c>
      <c r="Q88" s="78">
        <v>4059180</v>
      </c>
      <c r="R88" s="29">
        <f t="shared" ref="R88:AD88" si="21">SUM(R89:R99)</f>
        <v>48710160</v>
      </c>
      <c r="S88" s="29">
        <f t="shared" si="21"/>
        <v>4059180</v>
      </c>
      <c r="T88" s="29">
        <f t="shared" si="21"/>
        <v>4059180</v>
      </c>
      <c r="U88" s="29">
        <f t="shared" si="21"/>
        <v>4059180</v>
      </c>
      <c r="V88" s="29">
        <f t="shared" si="21"/>
        <v>4059180</v>
      </c>
      <c r="W88" s="29">
        <f t="shared" si="21"/>
        <v>4059180</v>
      </c>
      <c r="X88" s="29">
        <f t="shared" si="21"/>
        <v>4059180</v>
      </c>
      <c r="Y88" s="29">
        <f t="shared" si="21"/>
        <v>4059180</v>
      </c>
      <c r="Z88" s="29">
        <f t="shared" si="21"/>
        <v>4059180</v>
      </c>
      <c r="AA88" s="29">
        <f t="shared" si="21"/>
        <v>4059180</v>
      </c>
      <c r="AB88" s="29">
        <f t="shared" si="21"/>
        <v>4059180</v>
      </c>
      <c r="AC88" s="29">
        <f t="shared" si="21"/>
        <v>4059180</v>
      </c>
      <c r="AD88" s="29">
        <f t="shared" si="21"/>
        <v>4059180</v>
      </c>
    </row>
    <row r="89" spans="1:30" outlineLevel="1" x14ac:dyDescent="0.3">
      <c r="A89" s="34" t="s">
        <v>158</v>
      </c>
      <c r="B89" s="71" t="s">
        <v>159</v>
      </c>
      <c r="C89" s="71" t="s">
        <v>15</v>
      </c>
      <c r="D89" s="72">
        <v>5109110</v>
      </c>
      <c r="E89" s="72" t="s">
        <v>160</v>
      </c>
      <c r="F89" s="79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80">
        <v>0</v>
      </c>
      <c r="R89" s="35">
        <f t="shared" ref="R89:R99" si="22">SUM(S89:AD89)</f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</row>
    <row r="90" spans="1:30" outlineLevel="1" x14ac:dyDescent="0.3">
      <c r="A90" s="34" t="s">
        <v>161</v>
      </c>
      <c r="B90" s="71" t="s">
        <v>159</v>
      </c>
      <c r="C90" s="71" t="s">
        <v>15</v>
      </c>
      <c r="D90" s="72">
        <v>5109120</v>
      </c>
      <c r="E90" s="72" t="s">
        <v>160</v>
      </c>
      <c r="F90" s="79">
        <v>0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80">
        <v>0</v>
      </c>
      <c r="R90" s="35">
        <f t="shared" si="22"/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35">
        <v>0</v>
      </c>
      <c r="Y90" s="35">
        <v>0</v>
      </c>
      <c r="Z90" s="35">
        <v>0</v>
      </c>
      <c r="AA90" s="35">
        <v>0</v>
      </c>
      <c r="AB90" s="35">
        <v>0</v>
      </c>
      <c r="AC90" s="35">
        <v>0</v>
      </c>
      <c r="AD90" s="35">
        <v>0</v>
      </c>
    </row>
    <row r="91" spans="1:30" outlineLevel="1" x14ac:dyDescent="0.3">
      <c r="A91" s="34" t="s">
        <v>162</v>
      </c>
      <c r="B91" s="71" t="s">
        <v>159</v>
      </c>
      <c r="C91" s="71" t="s">
        <v>15</v>
      </c>
      <c r="D91" s="72">
        <v>5109130</v>
      </c>
      <c r="E91" s="72" t="s">
        <v>160</v>
      </c>
      <c r="F91" s="79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80">
        <v>0</v>
      </c>
      <c r="R91" s="35">
        <f t="shared" si="22"/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5">
        <v>0</v>
      </c>
    </row>
    <row r="92" spans="1:30" outlineLevel="1" x14ac:dyDescent="0.3">
      <c r="A92" s="34" t="s">
        <v>163</v>
      </c>
      <c r="B92" s="71" t="s">
        <v>159</v>
      </c>
      <c r="C92" s="71" t="s">
        <v>15</v>
      </c>
      <c r="D92" s="72">
        <v>5109140</v>
      </c>
      <c r="E92" s="72" t="s">
        <v>160</v>
      </c>
      <c r="F92" s="79">
        <v>4059180</v>
      </c>
      <c r="G92" s="52">
        <v>4059180</v>
      </c>
      <c r="H92" s="52">
        <v>4059180</v>
      </c>
      <c r="I92" s="52">
        <v>4059180</v>
      </c>
      <c r="J92" s="52">
        <v>4059180</v>
      </c>
      <c r="K92" s="52">
        <v>4059180</v>
      </c>
      <c r="L92" s="52">
        <v>4059180</v>
      </c>
      <c r="M92" s="52">
        <v>4059180</v>
      </c>
      <c r="N92" s="52">
        <v>4059180</v>
      </c>
      <c r="O92" s="52">
        <v>4059180</v>
      </c>
      <c r="P92" s="52">
        <v>4059180</v>
      </c>
      <c r="Q92" s="80">
        <v>4059180</v>
      </c>
      <c r="R92" s="35">
        <f t="shared" si="22"/>
        <v>48710160</v>
      </c>
      <c r="S92" s="35">
        <v>4059180</v>
      </c>
      <c r="T92" s="35">
        <v>4059180</v>
      </c>
      <c r="U92" s="35">
        <v>4059180</v>
      </c>
      <c r="V92" s="35">
        <v>4059180</v>
      </c>
      <c r="W92" s="35">
        <v>4059180</v>
      </c>
      <c r="X92" s="35">
        <v>4059180</v>
      </c>
      <c r="Y92" s="35">
        <v>4059180</v>
      </c>
      <c r="Z92" s="35">
        <v>4059180</v>
      </c>
      <c r="AA92" s="35">
        <v>4059180</v>
      </c>
      <c r="AB92" s="35">
        <v>4059180</v>
      </c>
      <c r="AC92" s="35">
        <v>4059180</v>
      </c>
      <c r="AD92" s="35">
        <v>4059180</v>
      </c>
    </row>
    <row r="93" spans="1:30" outlineLevel="1" x14ac:dyDescent="0.3">
      <c r="A93" s="34" t="s">
        <v>164</v>
      </c>
      <c r="B93" s="71" t="s">
        <v>159</v>
      </c>
      <c r="C93" s="71" t="s">
        <v>15</v>
      </c>
      <c r="D93" s="72">
        <v>5109150</v>
      </c>
      <c r="E93" s="72" t="s">
        <v>160</v>
      </c>
      <c r="F93" s="79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80">
        <v>0</v>
      </c>
      <c r="R93" s="35">
        <f t="shared" si="22"/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</row>
    <row r="94" spans="1:30" outlineLevel="1" x14ac:dyDescent="0.3">
      <c r="A94" s="34" t="s">
        <v>165</v>
      </c>
      <c r="B94" s="71" t="s">
        <v>159</v>
      </c>
      <c r="C94" s="71" t="s">
        <v>15</v>
      </c>
      <c r="D94" s="72">
        <v>5109160</v>
      </c>
      <c r="E94" s="72" t="s">
        <v>160</v>
      </c>
      <c r="F94" s="79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  <c r="Q94" s="80">
        <v>0</v>
      </c>
      <c r="R94" s="35">
        <f t="shared" si="22"/>
        <v>0</v>
      </c>
      <c r="S94" s="35">
        <v>0</v>
      </c>
      <c r="T94" s="35"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5">
        <v>0</v>
      </c>
    </row>
    <row r="95" spans="1:30" outlineLevel="1" x14ac:dyDescent="0.3">
      <c r="A95" s="34" t="s">
        <v>166</v>
      </c>
      <c r="B95" s="71" t="s">
        <v>159</v>
      </c>
      <c r="C95" s="71" t="s">
        <v>15</v>
      </c>
      <c r="D95" s="72">
        <v>5109170</v>
      </c>
      <c r="E95" s="72" t="s">
        <v>160</v>
      </c>
      <c r="F95" s="79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  <c r="Q95" s="80">
        <v>0</v>
      </c>
      <c r="R95" s="35">
        <f t="shared" si="22"/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  <c r="AB95" s="35">
        <v>0</v>
      </c>
      <c r="AC95" s="35">
        <v>0</v>
      </c>
      <c r="AD95" s="35">
        <v>0</v>
      </c>
    </row>
    <row r="96" spans="1:30" outlineLevel="1" x14ac:dyDescent="0.3">
      <c r="A96" s="34" t="s">
        <v>167</v>
      </c>
      <c r="B96" s="71" t="s">
        <v>159</v>
      </c>
      <c r="C96" s="71" t="s">
        <v>15</v>
      </c>
      <c r="D96" s="72">
        <v>5109180</v>
      </c>
      <c r="E96" s="72" t="s">
        <v>160</v>
      </c>
      <c r="F96" s="79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80">
        <v>0</v>
      </c>
      <c r="R96" s="35">
        <f t="shared" si="22"/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</row>
    <row r="97" spans="1:30" outlineLevel="1" x14ac:dyDescent="0.3">
      <c r="A97" s="34" t="s">
        <v>168</v>
      </c>
      <c r="B97" s="71" t="s">
        <v>159</v>
      </c>
      <c r="C97" s="71" t="s">
        <v>15</v>
      </c>
      <c r="D97" s="72">
        <v>5109190</v>
      </c>
      <c r="E97" s="72" t="s">
        <v>160</v>
      </c>
      <c r="F97" s="79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80">
        <v>0</v>
      </c>
      <c r="R97" s="35">
        <f t="shared" si="22"/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</row>
    <row r="98" spans="1:30" outlineLevel="1" x14ac:dyDescent="0.3">
      <c r="A98" s="34" t="s">
        <v>169</v>
      </c>
      <c r="B98" s="71" t="s">
        <v>159</v>
      </c>
      <c r="C98" s="71" t="s">
        <v>15</v>
      </c>
      <c r="D98" s="72">
        <v>5109210</v>
      </c>
      <c r="E98" s="72" t="s">
        <v>160</v>
      </c>
      <c r="F98" s="79">
        <v>0</v>
      </c>
      <c r="G98" s="52">
        <v>0</v>
      </c>
      <c r="H98" s="52">
        <v>0</v>
      </c>
      <c r="I98" s="52">
        <v>0</v>
      </c>
      <c r="J98" s="52">
        <v>0</v>
      </c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80">
        <v>0</v>
      </c>
      <c r="R98" s="35">
        <f t="shared" si="22"/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</row>
    <row r="99" spans="1:30" outlineLevel="1" x14ac:dyDescent="0.3">
      <c r="A99" s="34" t="s">
        <v>170</v>
      </c>
      <c r="B99" s="71" t="s">
        <v>159</v>
      </c>
      <c r="C99" s="71" t="s">
        <v>15</v>
      </c>
      <c r="D99" s="72">
        <v>5109220</v>
      </c>
      <c r="E99" s="72" t="s">
        <v>160</v>
      </c>
      <c r="F99" s="79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80">
        <v>0</v>
      </c>
      <c r="R99" s="35">
        <f t="shared" si="22"/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</row>
    <row r="100" spans="1:30" x14ac:dyDescent="0.3">
      <c r="A100" s="26" t="s">
        <v>171</v>
      </c>
      <c r="B100" s="73" t="s">
        <v>7</v>
      </c>
      <c r="C100" s="73"/>
      <c r="D100" s="74"/>
      <c r="E100" s="74"/>
      <c r="F100" s="41">
        <f t="shared" ref="F100:J100" si="23">SUM(F101:F106)</f>
        <v>9030000</v>
      </c>
      <c r="G100" s="49">
        <f t="shared" si="23"/>
        <v>17221800</v>
      </c>
      <c r="H100" s="49">
        <f t="shared" si="23"/>
        <v>0</v>
      </c>
      <c r="I100" s="49">
        <f t="shared" si="23"/>
        <v>2981800</v>
      </c>
      <c r="J100" s="49">
        <f t="shared" si="23"/>
        <v>3334740</v>
      </c>
      <c r="K100" s="49">
        <v>6348000</v>
      </c>
      <c r="L100" s="49">
        <v>5496000</v>
      </c>
      <c r="M100" s="49">
        <v>7768000</v>
      </c>
      <c r="N100" s="49">
        <v>500000</v>
      </c>
      <c r="O100" s="49">
        <v>4139000</v>
      </c>
      <c r="P100" s="49">
        <v>10209000</v>
      </c>
      <c r="Q100" s="78">
        <v>15464000</v>
      </c>
      <c r="R100" s="29">
        <f t="shared" ref="R100:AD100" si="24">SUM(R101:R106)</f>
        <v>96046044</v>
      </c>
      <c r="S100" s="29">
        <f t="shared" si="24"/>
        <v>9830920</v>
      </c>
      <c r="T100" s="29">
        <f t="shared" si="24"/>
        <v>3858100</v>
      </c>
      <c r="U100" s="29">
        <f t="shared" si="24"/>
        <v>7966880</v>
      </c>
      <c r="V100" s="29">
        <f t="shared" si="24"/>
        <v>3503214</v>
      </c>
      <c r="W100" s="29">
        <f t="shared" si="24"/>
        <v>4094640</v>
      </c>
      <c r="X100" s="50">
        <f t="shared" si="24"/>
        <v>4121590</v>
      </c>
      <c r="Y100" s="29">
        <f t="shared" si="24"/>
        <v>6737940</v>
      </c>
      <c r="Z100" s="29">
        <f t="shared" si="24"/>
        <v>5477150</v>
      </c>
      <c r="AA100" s="50">
        <f t="shared" si="24"/>
        <v>4996530</v>
      </c>
      <c r="AB100" s="29">
        <f t="shared" si="24"/>
        <v>14064930</v>
      </c>
      <c r="AC100" s="29">
        <f t="shared" si="24"/>
        <v>12652000</v>
      </c>
      <c r="AD100" s="29">
        <f t="shared" si="24"/>
        <v>18742150</v>
      </c>
    </row>
    <row r="101" spans="1:30" outlineLevel="1" x14ac:dyDescent="0.3">
      <c r="A101" s="34" t="s">
        <v>172</v>
      </c>
      <c r="B101" s="71" t="s">
        <v>173</v>
      </c>
      <c r="C101" s="71" t="s">
        <v>15</v>
      </c>
      <c r="D101" s="72">
        <v>5110110</v>
      </c>
      <c r="E101" s="72" t="s">
        <v>174</v>
      </c>
      <c r="F101" s="79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80">
        <v>0</v>
      </c>
      <c r="R101" s="35">
        <f t="shared" ref="R101:R106" si="25">SUM(S101:AD101)</f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</row>
    <row r="102" spans="1:30" outlineLevel="1" x14ac:dyDescent="0.3">
      <c r="A102" s="34" t="s">
        <v>175</v>
      </c>
      <c r="B102" s="71" t="s">
        <v>173</v>
      </c>
      <c r="C102" s="71" t="s">
        <v>15</v>
      </c>
      <c r="D102" s="72">
        <v>5110120</v>
      </c>
      <c r="E102" s="72" t="s">
        <v>174</v>
      </c>
      <c r="F102" s="79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80">
        <v>0</v>
      </c>
      <c r="R102" s="35">
        <f t="shared" si="25"/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</row>
    <row r="103" spans="1:30" outlineLevel="1" x14ac:dyDescent="0.3">
      <c r="A103" s="34" t="s">
        <v>176</v>
      </c>
      <c r="B103" s="71" t="s">
        <v>173</v>
      </c>
      <c r="C103" s="71" t="s">
        <v>27</v>
      </c>
      <c r="D103" s="72">
        <v>5110130</v>
      </c>
      <c r="E103" s="72" t="s">
        <v>174</v>
      </c>
      <c r="F103" s="79">
        <v>0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80">
        <v>0</v>
      </c>
      <c r="R103" s="35">
        <f t="shared" si="25"/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</row>
    <row r="104" spans="1:30" s="97" customFormat="1" outlineLevel="1" x14ac:dyDescent="0.3">
      <c r="A104" s="34" t="s">
        <v>177</v>
      </c>
      <c r="B104" s="75" t="s">
        <v>173</v>
      </c>
      <c r="C104" s="75" t="s">
        <v>27</v>
      </c>
      <c r="D104" s="93">
        <v>5110140</v>
      </c>
      <c r="E104" s="93" t="s">
        <v>174</v>
      </c>
      <c r="F104" s="95">
        <v>9030000</v>
      </c>
      <c r="G104" s="56">
        <v>17221800</v>
      </c>
      <c r="H104" s="56">
        <v>0</v>
      </c>
      <c r="I104" s="56">
        <v>2981800</v>
      </c>
      <c r="J104" s="56">
        <v>3334740</v>
      </c>
      <c r="K104" s="56">
        <v>6348000</v>
      </c>
      <c r="L104" s="56">
        <v>5496000</v>
      </c>
      <c r="M104" s="56">
        <v>7768000</v>
      </c>
      <c r="N104" s="56">
        <v>500000</v>
      </c>
      <c r="O104" s="56">
        <v>4139000</v>
      </c>
      <c r="P104" s="56">
        <v>10209000</v>
      </c>
      <c r="Q104" s="96">
        <v>15464000</v>
      </c>
      <c r="R104" s="94">
        <f t="shared" si="25"/>
        <v>96046044</v>
      </c>
      <c r="S104" s="94">
        <v>9830920</v>
      </c>
      <c r="T104" s="94">
        <v>3858100</v>
      </c>
      <c r="U104" s="94">
        <v>7966880</v>
      </c>
      <c r="V104" s="94">
        <v>3503214</v>
      </c>
      <c r="W104" s="94">
        <v>4094640</v>
      </c>
      <c r="X104" s="94">
        <v>4121590</v>
      </c>
      <c r="Y104" s="94">
        <v>6737940</v>
      </c>
      <c r="Z104" s="94">
        <v>5477150</v>
      </c>
      <c r="AA104" s="94">
        <v>4996530</v>
      </c>
      <c r="AB104" s="94">
        <v>14064930</v>
      </c>
      <c r="AC104" s="94">
        <v>12652000</v>
      </c>
      <c r="AD104" s="94">
        <v>18742150</v>
      </c>
    </row>
    <row r="105" spans="1:30" outlineLevel="1" x14ac:dyDescent="0.3">
      <c r="A105" s="34" t="s">
        <v>178</v>
      </c>
      <c r="B105" s="71" t="s">
        <v>179</v>
      </c>
      <c r="C105" s="71" t="s">
        <v>15</v>
      </c>
      <c r="D105" s="72">
        <v>5110150</v>
      </c>
      <c r="E105" s="72" t="s">
        <v>180</v>
      </c>
      <c r="F105" s="79">
        <v>0</v>
      </c>
      <c r="G105" s="52">
        <v>0</v>
      </c>
      <c r="H105" s="52">
        <v>0</v>
      </c>
      <c r="I105" s="52">
        <v>0</v>
      </c>
      <c r="J105" s="52">
        <v>0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80">
        <v>0</v>
      </c>
      <c r="R105" s="35">
        <f t="shared" si="25"/>
        <v>0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  <c r="AB105" s="35">
        <v>0</v>
      </c>
      <c r="AC105" s="35">
        <v>0</v>
      </c>
      <c r="AD105" s="35">
        <v>0</v>
      </c>
    </row>
    <row r="106" spans="1:30" outlineLevel="1" x14ac:dyDescent="0.3">
      <c r="A106" s="34" t="s">
        <v>181</v>
      </c>
      <c r="B106" s="71" t="s">
        <v>179</v>
      </c>
      <c r="C106" s="71" t="s">
        <v>15</v>
      </c>
      <c r="D106" s="72" t="s">
        <v>182</v>
      </c>
      <c r="E106" s="72"/>
      <c r="F106" s="79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80">
        <v>0</v>
      </c>
      <c r="R106" s="35">
        <f t="shared" si="25"/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5">
        <v>0</v>
      </c>
    </row>
    <row r="107" spans="1:30" x14ac:dyDescent="0.3">
      <c r="A107" s="26" t="s">
        <v>183</v>
      </c>
      <c r="B107" s="73" t="s">
        <v>7</v>
      </c>
      <c r="C107" s="73"/>
      <c r="D107" s="74"/>
      <c r="E107" s="74"/>
      <c r="F107" s="41">
        <f t="shared" ref="F107:J107" si="26">SUM(F108:F114)</f>
        <v>0</v>
      </c>
      <c r="G107" s="49">
        <f t="shared" si="26"/>
        <v>0</v>
      </c>
      <c r="H107" s="49">
        <f t="shared" si="26"/>
        <v>0</v>
      </c>
      <c r="I107" s="49">
        <f t="shared" si="26"/>
        <v>0</v>
      </c>
      <c r="J107" s="49">
        <f t="shared" si="26"/>
        <v>0</v>
      </c>
      <c r="K107" s="49">
        <v>0</v>
      </c>
      <c r="L107" s="49">
        <v>0</v>
      </c>
      <c r="M107" s="49">
        <v>0</v>
      </c>
      <c r="N107" s="49">
        <v>0</v>
      </c>
      <c r="O107" s="49">
        <v>0</v>
      </c>
      <c r="P107" s="49">
        <v>0</v>
      </c>
      <c r="Q107" s="78">
        <v>0</v>
      </c>
      <c r="R107" s="29">
        <f t="shared" ref="R107:AD107" si="27">SUM(R108:R114)</f>
        <v>0</v>
      </c>
      <c r="S107" s="29">
        <f t="shared" si="27"/>
        <v>0</v>
      </c>
      <c r="T107" s="29">
        <f t="shared" si="27"/>
        <v>0</v>
      </c>
      <c r="U107" s="29">
        <f t="shared" si="27"/>
        <v>0</v>
      </c>
      <c r="V107" s="29">
        <f t="shared" si="27"/>
        <v>0</v>
      </c>
      <c r="W107" s="29">
        <f t="shared" si="27"/>
        <v>0</v>
      </c>
      <c r="X107" s="29">
        <f t="shared" si="27"/>
        <v>0</v>
      </c>
      <c r="Y107" s="29">
        <f t="shared" si="27"/>
        <v>0</v>
      </c>
      <c r="Z107" s="29">
        <f t="shared" si="27"/>
        <v>0</v>
      </c>
      <c r="AA107" s="29">
        <f t="shared" si="27"/>
        <v>0</v>
      </c>
      <c r="AB107" s="29">
        <f t="shared" si="27"/>
        <v>0</v>
      </c>
      <c r="AC107" s="29">
        <f t="shared" si="27"/>
        <v>0</v>
      </c>
      <c r="AD107" s="29">
        <f t="shared" si="27"/>
        <v>0</v>
      </c>
    </row>
    <row r="108" spans="1:30" outlineLevel="1" x14ac:dyDescent="0.3">
      <c r="A108" s="34" t="s">
        <v>184</v>
      </c>
      <c r="B108" s="71" t="s">
        <v>185</v>
      </c>
      <c r="C108" s="71" t="s">
        <v>15</v>
      </c>
      <c r="D108" s="72">
        <v>5111110</v>
      </c>
      <c r="E108" s="72" t="s">
        <v>186</v>
      </c>
      <c r="F108" s="79">
        <v>0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80">
        <v>0</v>
      </c>
      <c r="R108" s="35">
        <f t="shared" ref="R108:R114" si="28">SUM(S108:AD108)</f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</row>
    <row r="109" spans="1:30" outlineLevel="1" x14ac:dyDescent="0.3">
      <c r="A109" s="34" t="s">
        <v>187</v>
      </c>
      <c r="B109" s="71" t="s">
        <v>185</v>
      </c>
      <c r="C109" s="71" t="s">
        <v>15</v>
      </c>
      <c r="D109" s="72">
        <v>5111120</v>
      </c>
      <c r="E109" s="72" t="s">
        <v>186</v>
      </c>
      <c r="F109" s="79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80">
        <v>0</v>
      </c>
      <c r="R109" s="35">
        <f t="shared" si="28"/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</row>
    <row r="110" spans="1:30" outlineLevel="1" x14ac:dyDescent="0.3">
      <c r="A110" s="34" t="s">
        <v>188</v>
      </c>
      <c r="B110" s="71" t="s">
        <v>185</v>
      </c>
      <c r="C110" s="71" t="s">
        <v>15</v>
      </c>
      <c r="D110" s="72">
        <v>5111130</v>
      </c>
      <c r="E110" s="72" t="s">
        <v>186</v>
      </c>
      <c r="F110" s="79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80">
        <v>0</v>
      </c>
      <c r="R110" s="35">
        <f t="shared" si="28"/>
        <v>0</v>
      </c>
      <c r="S110" s="35">
        <v>0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</row>
    <row r="111" spans="1:30" outlineLevel="1" x14ac:dyDescent="0.3">
      <c r="A111" s="34" t="s">
        <v>189</v>
      </c>
      <c r="B111" s="71" t="s">
        <v>185</v>
      </c>
      <c r="C111" s="71" t="s">
        <v>15</v>
      </c>
      <c r="D111" s="72">
        <v>5111140</v>
      </c>
      <c r="E111" s="72" t="s">
        <v>186</v>
      </c>
      <c r="F111" s="79">
        <v>0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0</v>
      </c>
      <c r="M111" s="52">
        <v>0</v>
      </c>
      <c r="N111" s="52">
        <v>0</v>
      </c>
      <c r="O111" s="52">
        <v>0</v>
      </c>
      <c r="P111" s="52">
        <v>0</v>
      </c>
      <c r="Q111" s="80">
        <v>0</v>
      </c>
      <c r="R111" s="35">
        <f t="shared" si="28"/>
        <v>0</v>
      </c>
      <c r="S111" s="35">
        <v>0</v>
      </c>
      <c r="T111" s="35">
        <v>0</v>
      </c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</row>
    <row r="112" spans="1:30" outlineLevel="1" x14ac:dyDescent="0.3">
      <c r="A112" s="34" t="s">
        <v>190</v>
      </c>
      <c r="B112" s="71" t="s">
        <v>185</v>
      </c>
      <c r="C112" s="71" t="s">
        <v>15</v>
      </c>
      <c r="D112" s="72">
        <v>5111150</v>
      </c>
      <c r="E112" s="72" t="s">
        <v>186</v>
      </c>
      <c r="F112" s="79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80">
        <v>0</v>
      </c>
      <c r="R112" s="35">
        <f t="shared" si="28"/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</row>
    <row r="113" spans="1:30" outlineLevel="1" x14ac:dyDescent="0.3">
      <c r="A113" s="34" t="s">
        <v>191</v>
      </c>
      <c r="B113" s="71" t="s">
        <v>185</v>
      </c>
      <c r="C113" s="71" t="s">
        <v>15</v>
      </c>
      <c r="D113" s="72">
        <v>5111160</v>
      </c>
      <c r="E113" s="72" t="s">
        <v>186</v>
      </c>
      <c r="F113" s="79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80">
        <v>0</v>
      </c>
      <c r="R113" s="35">
        <f t="shared" si="28"/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</row>
    <row r="114" spans="1:30" outlineLevel="1" x14ac:dyDescent="0.3">
      <c r="A114" s="34" t="s">
        <v>192</v>
      </c>
      <c r="B114" s="71" t="s">
        <v>185</v>
      </c>
      <c r="C114" s="71" t="s">
        <v>15</v>
      </c>
      <c r="D114" s="72">
        <v>5111141</v>
      </c>
      <c r="E114" s="72" t="s">
        <v>186</v>
      </c>
      <c r="F114" s="79">
        <v>0</v>
      </c>
      <c r="G114" s="52">
        <v>0</v>
      </c>
      <c r="H114" s="52">
        <v>0</v>
      </c>
      <c r="I114" s="52">
        <v>0</v>
      </c>
      <c r="J114" s="52">
        <v>0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  <c r="Q114" s="80">
        <v>0</v>
      </c>
      <c r="R114" s="35">
        <f t="shared" si="28"/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</row>
    <row r="115" spans="1:30" x14ac:dyDescent="0.3">
      <c r="A115" s="26" t="s">
        <v>193</v>
      </c>
      <c r="B115" s="73" t="s">
        <v>7</v>
      </c>
      <c r="C115" s="73"/>
      <c r="D115" s="74"/>
      <c r="E115" s="74"/>
      <c r="F115" s="41">
        <f t="shared" ref="F115:J115" si="29">SUM(F116:F117)</f>
        <v>0</v>
      </c>
      <c r="G115" s="49">
        <f t="shared" si="29"/>
        <v>0</v>
      </c>
      <c r="H115" s="49">
        <f t="shared" si="29"/>
        <v>0</v>
      </c>
      <c r="I115" s="49">
        <f t="shared" si="29"/>
        <v>0</v>
      </c>
      <c r="J115" s="49">
        <f t="shared" si="29"/>
        <v>0</v>
      </c>
      <c r="K115" s="49">
        <v>5333</v>
      </c>
      <c r="L115" s="49">
        <v>5334</v>
      </c>
      <c r="M115" s="49">
        <v>5333</v>
      </c>
      <c r="N115" s="49">
        <v>5333</v>
      </c>
      <c r="O115" s="49">
        <v>5334</v>
      </c>
      <c r="P115" s="49">
        <v>5333</v>
      </c>
      <c r="Q115" s="78">
        <v>5333</v>
      </c>
      <c r="R115" s="29">
        <f t="shared" ref="R115:AD115" si="30">SUM(R116:R117)</f>
        <v>0</v>
      </c>
      <c r="S115" s="29">
        <f t="shared" si="30"/>
        <v>0</v>
      </c>
      <c r="T115" s="29">
        <f t="shared" si="30"/>
        <v>0</v>
      </c>
      <c r="U115" s="29">
        <f t="shared" si="30"/>
        <v>0</v>
      </c>
      <c r="V115" s="29">
        <f t="shared" si="30"/>
        <v>0</v>
      </c>
      <c r="W115" s="29">
        <f t="shared" si="30"/>
        <v>0</v>
      </c>
      <c r="X115" s="29">
        <f t="shared" si="30"/>
        <v>0</v>
      </c>
      <c r="Y115" s="29">
        <f t="shared" si="30"/>
        <v>0</v>
      </c>
      <c r="Z115" s="29">
        <f t="shared" si="30"/>
        <v>0</v>
      </c>
      <c r="AA115" s="29">
        <f t="shared" si="30"/>
        <v>0</v>
      </c>
      <c r="AB115" s="29">
        <f t="shared" si="30"/>
        <v>0</v>
      </c>
      <c r="AC115" s="29">
        <f t="shared" si="30"/>
        <v>0</v>
      </c>
      <c r="AD115" s="29">
        <f t="shared" si="30"/>
        <v>0</v>
      </c>
    </row>
    <row r="116" spans="1:30" outlineLevel="1" x14ac:dyDescent="0.3">
      <c r="A116" s="34" t="s">
        <v>194</v>
      </c>
      <c r="B116" s="71" t="s">
        <v>195</v>
      </c>
      <c r="C116" s="71" t="s">
        <v>15</v>
      </c>
      <c r="D116" s="72">
        <v>5112110</v>
      </c>
      <c r="E116" s="72" t="s">
        <v>196</v>
      </c>
      <c r="F116" s="79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5333</v>
      </c>
      <c r="L116" s="52">
        <v>5334</v>
      </c>
      <c r="M116" s="52">
        <v>5333</v>
      </c>
      <c r="N116" s="52">
        <v>5333</v>
      </c>
      <c r="O116" s="52">
        <v>5334</v>
      </c>
      <c r="P116" s="52">
        <v>5333</v>
      </c>
      <c r="Q116" s="52">
        <v>5333</v>
      </c>
      <c r="R116" s="35">
        <f>SUM(S116:AD116)</f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</row>
    <row r="117" spans="1:30" outlineLevel="1" x14ac:dyDescent="0.3">
      <c r="A117" s="34" t="s">
        <v>197</v>
      </c>
      <c r="B117" s="71" t="s">
        <v>197</v>
      </c>
      <c r="C117" s="71" t="s">
        <v>15</v>
      </c>
      <c r="D117" s="72">
        <v>5112120</v>
      </c>
      <c r="E117" s="72" t="s">
        <v>198</v>
      </c>
      <c r="F117" s="79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80">
        <v>0</v>
      </c>
      <c r="R117" s="35">
        <f>SUM(S117:AD117)</f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</row>
    <row r="118" spans="1:30" x14ac:dyDescent="0.3">
      <c r="A118" s="26" t="s">
        <v>199</v>
      </c>
      <c r="B118" s="73" t="s">
        <v>7</v>
      </c>
      <c r="C118" s="73"/>
      <c r="D118" s="74"/>
      <c r="E118" s="74"/>
      <c r="F118" s="41">
        <f t="shared" ref="F118:J118" si="31">SUM(F119:F127)</f>
        <v>3809000</v>
      </c>
      <c r="G118" s="49">
        <f t="shared" si="31"/>
        <v>959000</v>
      </c>
      <c r="H118" s="49">
        <f t="shared" si="31"/>
        <v>828000</v>
      </c>
      <c r="I118" s="49">
        <f t="shared" si="31"/>
        <v>116364</v>
      </c>
      <c r="J118" s="49">
        <f t="shared" si="31"/>
        <v>2846000</v>
      </c>
      <c r="K118" s="49">
        <v>4193000</v>
      </c>
      <c r="L118" s="49">
        <v>13944000</v>
      </c>
      <c r="M118" s="49">
        <v>7550000</v>
      </c>
      <c r="N118" s="49">
        <v>4161000</v>
      </c>
      <c r="O118" s="49">
        <v>3608000</v>
      </c>
      <c r="P118" s="49">
        <v>4358000</v>
      </c>
      <c r="Q118" s="78">
        <v>900000</v>
      </c>
      <c r="R118" s="29">
        <f t="shared" ref="R118:AD118" si="32">SUM(R119:R127)</f>
        <v>48700000</v>
      </c>
      <c r="S118" s="29">
        <f t="shared" si="32"/>
        <v>1300000</v>
      </c>
      <c r="T118" s="29">
        <f t="shared" si="32"/>
        <v>1300000</v>
      </c>
      <c r="U118" s="29">
        <f t="shared" si="32"/>
        <v>1300000</v>
      </c>
      <c r="V118" s="29">
        <f t="shared" si="32"/>
        <v>1400000</v>
      </c>
      <c r="W118" s="29">
        <f t="shared" si="32"/>
        <v>1300000</v>
      </c>
      <c r="X118" s="29">
        <f t="shared" si="32"/>
        <v>34200000</v>
      </c>
      <c r="Y118" s="29">
        <f t="shared" si="32"/>
        <v>1450000</v>
      </c>
      <c r="Z118" s="29">
        <f t="shared" si="32"/>
        <v>1350000</v>
      </c>
      <c r="AA118" s="29">
        <f t="shared" si="32"/>
        <v>1300000</v>
      </c>
      <c r="AB118" s="29">
        <f t="shared" si="32"/>
        <v>1400000</v>
      </c>
      <c r="AC118" s="29">
        <f t="shared" si="32"/>
        <v>1300000</v>
      </c>
      <c r="AD118" s="29">
        <f t="shared" si="32"/>
        <v>1100000</v>
      </c>
    </row>
    <row r="119" spans="1:30" outlineLevel="1" x14ac:dyDescent="0.3">
      <c r="A119" s="34" t="s">
        <v>200</v>
      </c>
      <c r="B119" s="71" t="s">
        <v>201</v>
      </c>
      <c r="C119" s="71" t="s">
        <v>27</v>
      </c>
      <c r="D119" s="72">
        <v>5113110</v>
      </c>
      <c r="E119" s="72" t="s">
        <v>202</v>
      </c>
      <c r="F119" s="79">
        <v>0</v>
      </c>
      <c r="G119" s="52">
        <v>0</v>
      </c>
      <c r="H119" s="52">
        <v>0</v>
      </c>
      <c r="I119" s="52">
        <v>0</v>
      </c>
      <c r="J119" s="52">
        <v>0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  <c r="Q119" s="80">
        <v>0</v>
      </c>
      <c r="R119" s="35">
        <f t="shared" ref="R119:R127" si="33">SUM(S119:AD119)</f>
        <v>0</v>
      </c>
      <c r="S119" s="35">
        <v>0</v>
      </c>
      <c r="T119" s="35">
        <v>0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</row>
    <row r="120" spans="1:30" outlineLevel="1" x14ac:dyDescent="0.3">
      <c r="A120" s="34" t="s">
        <v>203</v>
      </c>
      <c r="B120" s="71" t="s">
        <v>204</v>
      </c>
      <c r="C120" s="71" t="s">
        <v>27</v>
      </c>
      <c r="D120" s="72">
        <v>5113120</v>
      </c>
      <c r="E120" s="72" t="s">
        <v>205</v>
      </c>
      <c r="F120" s="79">
        <v>0</v>
      </c>
      <c r="G120" s="52">
        <v>0</v>
      </c>
      <c r="H120" s="52">
        <v>0</v>
      </c>
      <c r="I120" s="52">
        <v>0</v>
      </c>
      <c r="J120" s="52">
        <v>0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  <c r="Q120" s="80">
        <v>0</v>
      </c>
      <c r="R120" s="35">
        <f t="shared" si="33"/>
        <v>0</v>
      </c>
      <c r="S120" s="35">
        <v>0</v>
      </c>
      <c r="T120" s="35">
        <v>0</v>
      </c>
      <c r="U120" s="35">
        <v>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</row>
    <row r="121" spans="1:30" outlineLevel="1" x14ac:dyDescent="0.3">
      <c r="A121" s="34" t="s">
        <v>206</v>
      </c>
      <c r="B121" s="71" t="s">
        <v>207</v>
      </c>
      <c r="C121" s="71" t="s">
        <v>27</v>
      </c>
      <c r="D121" s="72">
        <v>5113130</v>
      </c>
      <c r="E121" s="72" t="s">
        <v>208</v>
      </c>
      <c r="F121" s="79">
        <v>0</v>
      </c>
      <c r="G121" s="52">
        <v>0</v>
      </c>
      <c r="H121" s="52">
        <v>0</v>
      </c>
      <c r="I121" s="52">
        <v>116364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80">
        <v>0</v>
      </c>
      <c r="R121" s="35">
        <f t="shared" si="33"/>
        <v>0</v>
      </c>
      <c r="S121" s="35">
        <v>0</v>
      </c>
      <c r="T121" s="35">
        <v>0</v>
      </c>
      <c r="U121" s="35">
        <v>0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</row>
    <row r="122" spans="1:30" outlineLevel="1" x14ac:dyDescent="0.3">
      <c r="A122" s="34" t="s">
        <v>209</v>
      </c>
      <c r="B122" s="71" t="s">
        <v>207</v>
      </c>
      <c r="C122" s="71" t="s">
        <v>27</v>
      </c>
      <c r="D122" s="72">
        <v>5113140</v>
      </c>
      <c r="E122" s="72" t="s">
        <v>208</v>
      </c>
      <c r="F122" s="79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  <c r="Q122" s="80">
        <v>0</v>
      </c>
      <c r="R122" s="35">
        <f t="shared" si="33"/>
        <v>0</v>
      </c>
      <c r="S122" s="35">
        <v>0</v>
      </c>
      <c r="T122" s="35">
        <v>0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</row>
    <row r="123" spans="1:30" outlineLevel="1" x14ac:dyDescent="0.3">
      <c r="A123" s="34" t="s">
        <v>210</v>
      </c>
      <c r="B123" s="71" t="s">
        <v>211</v>
      </c>
      <c r="C123" s="71" t="s">
        <v>27</v>
      </c>
      <c r="D123" s="72">
        <v>5113150</v>
      </c>
      <c r="E123" s="72" t="s">
        <v>212</v>
      </c>
      <c r="F123" s="79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  <c r="Q123" s="80">
        <v>0</v>
      </c>
      <c r="R123" s="35">
        <f t="shared" si="33"/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</row>
    <row r="124" spans="1:30" s="97" customFormat="1" outlineLevel="1" x14ac:dyDescent="0.3">
      <c r="A124" s="34" t="s">
        <v>213</v>
      </c>
      <c r="B124" s="75" t="s">
        <v>207</v>
      </c>
      <c r="C124" s="75" t="s">
        <v>27</v>
      </c>
      <c r="D124" s="93"/>
      <c r="E124" s="93" t="s">
        <v>208</v>
      </c>
      <c r="F124" s="95">
        <v>3809000</v>
      </c>
      <c r="G124" s="56">
        <v>959000</v>
      </c>
      <c r="H124" s="56">
        <v>828000</v>
      </c>
      <c r="I124" s="56">
        <v>0</v>
      </c>
      <c r="J124" s="56">
        <v>2846000</v>
      </c>
      <c r="K124" s="56">
        <v>4193000</v>
      </c>
      <c r="L124" s="56">
        <v>13944000</v>
      </c>
      <c r="M124" s="56">
        <v>7550000</v>
      </c>
      <c r="N124" s="56">
        <v>4161000</v>
      </c>
      <c r="O124" s="56">
        <v>3608000</v>
      </c>
      <c r="P124" s="56">
        <v>4358000</v>
      </c>
      <c r="Q124" s="96">
        <v>900000</v>
      </c>
      <c r="R124" s="94">
        <f t="shared" si="33"/>
        <v>48700000</v>
      </c>
      <c r="S124" s="94">
        <v>1300000</v>
      </c>
      <c r="T124" s="94">
        <v>1300000</v>
      </c>
      <c r="U124" s="94">
        <v>1300000</v>
      </c>
      <c r="V124" s="94">
        <v>1400000</v>
      </c>
      <c r="W124" s="94">
        <v>1300000</v>
      </c>
      <c r="X124" s="94">
        <v>34200000</v>
      </c>
      <c r="Y124" s="94">
        <v>1450000</v>
      </c>
      <c r="Z124" s="94">
        <v>1350000</v>
      </c>
      <c r="AA124" s="94">
        <v>1300000</v>
      </c>
      <c r="AB124" s="94">
        <v>1400000</v>
      </c>
      <c r="AC124" s="94">
        <v>1300000</v>
      </c>
      <c r="AD124" s="94">
        <v>1100000</v>
      </c>
    </row>
    <row r="125" spans="1:30" outlineLevel="1" x14ac:dyDescent="0.3">
      <c r="A125" s="34" t="s">
        <v>214</v>
      </c>
      <c r="B125" s="71" t="s">
        <v>207</v>
      </c>
      <c r="C125" s="71" t="s">
        <v>27</v>
      </c>
      <c r="D125" s="72">
        <v>5113170</v>
      </c>
      <c r="E125" s="72" t="s">
        <v>208</v>
      </c>
      <c r="F125" s="79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  <c r="Q125" s="80">
        <v>0</v>
      </c>
      <c r="R125" s="35">
        <f t="shared" si="33"/>
        <v>0</v>
      </c>
      <c r="S125" s="35">
        <v>0</v>
      </c>
      <c r="T125" s="35">
        <v>0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</row>
    <row r="126" spans="1:30" outlineLevel="1" x14ac:dyDescent="0.3">
      <c r="A126" s="34" t="s">
        <v>215</v>
      </c>
      <c r="B126" s="71" t="s">
        <v>7</v>
      </c>
      <c r="C126" s="71" t="s">
        <v>27</v>
      </c>
      <c r="D126" s="72">
        <v>5113210</v>
      </c>
      <c r="E126" s="72" t="s">
        <v>202</v>
      </c>
      <c r="F126" s="79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80">
        <v>0</v>
      </c>
      <c r="R126" s="35">
        <f t="shared" si="33"/>
        <v>0</v>
      </c>
      <c r="S126" s="35">
        <v>0</v>
      </c>
      <c r="T126" s="35">
        <v>0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5">
        <v>0</v>
      </c>
    </row>
    <row r="127" spans="1:30" s="97" customFormat="1" outlineLevel="1" x14ac:dyDescent="0.3">
      <c r="A127" s="54" t="s">
        <v>326</v>
      </c>
      <c r="B127" s="75" t="s">
        <v>217</v>
      </c>
      <c r="C127" s="75" t="s">
        <v>27</v>
      </c>
      <c r="D127" s="93">
        <v>5113160</v>
      </c>
      <c r="E127" s="93" t="s">
        <v>208</v>
      </c>
      <c r="F127" s="95">
        <v>0</v>
      </c>
      <c r="G127" s="56">
        <v>0</v>
      </c>
      <c r="H127" s="56">
        <v>0</v>
      </c>
      <c r="I127" s="56">
        <v>0</v>
      </c>
      <c r="J127" s="56">
        <v>0</v>
      </c>
      <c r="K127" s="56">
        <v>0</v>
      </c>
      <c r="L127" s="56">
        <v>0</v>
      </c>
      <c r="M127" s="56">
        <v>0</v>
      </c>
      <c r="N127" s="56">
        <v>0</v>
      </c>
      <c r="O127" s="56">
        <v>0</v>
      </c>
      <c r="P127" s="56">
        <v>0</v>
      </c>
      <c r="Q127" s="96">
        <v>0</v>
      </c>
      <c r="R127" s="94">
        <f t="shared" si="33"/>
        <v>0</v>
      </c>
      <c r="S127" s="35">
        <v>0</v>
      </c>
      <c r="T127" s="35">
        <v>0</v>
      </c>
      <c r="U127" s="35">
        <v>0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0</v>
      </c>
      <c r="AB127" s="35">
        <v>0</v>
      </c>
      <c r="AC127" s="35">
        <v>0</v>
      </c>
      <c r="AD127" s="35">
        <v>0</v>
      </c>
    </row>
    <row r="128" spans="1:30" x14ac:dyDescent="0.3">
      <c r="A128" s="26" t="s">
        <v>218</v>
      </c>
      <c r="B128" s="73" t="s">
        <v>7</v>
      </c>
      <c r="C128" s="73"/>
      <c r="D128" s="74"/>
      <c r="E128" s="74"/>
      <c r="F128" s="41">
        <f t="shared" ref="F128:J128" si="34">F129</f>
        <v>0</v>
      </c>
      <c r="G128" s="49">
        <f t="shared" si="34"/>
        <v>0</v>
      </c>
      <c r="H128" s="49">
        <f t="shared" si="34"/>
        <v>0</v>
      </c>
      <c r="I128" s="49">
        <f t="shared" si="34"/>
        <v>0</v>
      </c>
      <c r="J128" s="49">
        <f t="shared" si="34"/>
        <v>0</v>
      </c>
      <c r="K128" s="49">
        <v>0</v>
      </c>
      <c r="L128" s="49">
        <v>0</v>
      </c>
      <c r="M128" s="49">
        <v>0</v>
      </c>
      <c r="N128" s="49">
        <v>0</v>
      </c>
      <c r="O128" s="49">
        <v>0</v>
      </c>
      <c r="P128" s="49">
        <v>0</v>
      </c>
      <c r="Q128" s="78">
        <v>0</v>
      </c>
      <c r="R128" s="29">
        <f t="shared" ref="R128:AD128" si="35">R129</f>
        <v>0</v>
      </c>
      <c r="S128" s="29">
        <f t="shared" si="35"/>
        <v>0</v>
      </c>
      <c r="T128" s="29">
        <f t="shared" si="35"/>
        <v>0</v>
      </c>
      <c r="U128" s="29">
        <f t="shared" si="35"/>
        <v>0</v>
      </c>
      <c r="V128" s="29">
        <f t="shared" si="35"/>
        <v>0</v>
      </c>
      <c r="W128" s="29">
        <f t="shared" si="35"/>
        <v>0</v>
      </c>
      <c r="X128" s="29">
        <f t="shared" si="35"/>
        <v>0</v>
      </c>
      <c r="Y128" s="29">
        <f t="shared" si="35"/>
        <v>0</v>
      </c>
      <c r="Z128" s="29">
        <f t="shared" si="35"/>
        <v>0</v>
      </c>
      <c r="AA128" s="29">
        <f t="shared" si="35"/>
        <v>0</v>
      </c>
      <c r="AB128" s="29">
        <f t="shared" si="35"/>
        <v>0</v>
      </c>
      <c r="AC128" s="29">
        <f t="shared" si="35"/>
        <v>0</v>
      </c>
      <c r="AD128" s="29">
        <f t="shared" si="35"/>
        <v>0</v>
      </c>
    </row>
    <row r="129" spans="1:30" outlineLevel="1" x14ac:dyDescent="0.3">
      <c r="A129" s="34" t="s">
        <v>219</v>
      </c>
      <c r="B129" s="71" t="s">
        <v>220</v>
      </c>
      <c r="C129" s="71" t="s">
        <v>15</v>
      </c>
      <c r="D129" s="72">
        <v>5115110</v>
      </c>
      <c r="E129" s="72" t="s">
        <v>221</v>
      </c>
      <c r="F129" s="79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80">
        <v>0</v>
      </c>
      <c r="R129" s="35">
        <f>SUM(S129:AD129)</f>
        <v>0</v>
      </c>
      <c r="S129" s="35">
        <v>0</v>
      </c>
      <c r="T129" s="35">
        <v>0</v>
      </c>
      <c r="U129" s="35">
        <v>0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</row>
    <row r="130" spans="1:30" x14ac:dyDescent="0.3">
      <c r="A130" s="26" t="s">
        <v>222</v>
      </c>
      <c r="B130" s="73" t="s">
        <v>7</v>
      </c>
      <c r="C130" s="73"/>
      <c r="D130" s="74"/>
      <c r="E130" s="74"/>
      <c r="F130" s="41">
        <f t="shared" ref="F130:J130" si="36">SUM(F131:F137)</f>
        <v>0</v>
      </c>
      <c r="G130" s="49">
        <f t="shared" si="36"/>
        <v>0</v>
      </c>
      <c r="H130" s="49">
        <f t="shared" si="36"/>
        <v>0</v>
      </c>
      <c r="I130" s="49">
        <f t="shared" si="36"/>
        <v>0</v>
      </c>
      <c r="J130" s="49">
        <f t="shared" si="36"/>
        <v>0</v>
      </c>
      <c r="K130" s="49">
        <v>0</v>
      </c>
      <c r="L130" s="49">
        <v>0</v>
      </c>
      <c r="M130" s="49">
        <v>0</v>
      </c>
      <c r="N130" s="49">
        <v>0</v>
      </c>
      <c r="O130" s="49">
        <v>0</v>
      </c>
      <c r="P130" s="49">
        <v>0</v>
      </c>
      <c r="Q130" s="78">
        <v>0</v>
      </c>
      <c r="R130" s="29">
        <f t="shared" ref="R130:AD130" si="37">SUM(R131:R137)</f>
        <v>0</v>
      </c>
      <c r="S130" s="29">
        <f t="shared" si="37"/>
        <v>0</v>
      </c>
      <c r="T130" s="29">
        <f t="shared" si="37"/>
        <v>0</v>
      </c>
      <c r="U130" s="29">
        <f t="shared" si="37"/>
        <v>0</v>
      </c>
      <c r="V130" s="29">
        <f t="shared" si="37"/>
        <v>0</v>
      </c>
      <c r="W130" s="29">
        <f t="shared" si="37"/>
        <v>0</v>
      </c>
      <c r="X130" s="29">
        <f t="shared" si="37"/>
        <v>0</v>
      </c>
      <c r="Y130" s="29">
        <f t="shared" si="37"/>
        <v>0</v>
      </c>
      <c r="Z130" s="29">
        <f t="shared" si="37"/>
        <v>0</v>
      </c>
      <c r="AA130" s="29">
        <f t="shared" si="37"/>
        <v>0</v>
      </c>
      <c r="AB130" s="29">
        <f t="shared" si="37"/>
        <v>0</v>
      </c>
      <c r="AC130" s="29">
        <f t="shared" si="37"/>
        <v>0</v>
      </c>
      <c r="AD130" s="29">
        <f t="shared" si="37"/>
        <v>0</v>
      </c>
    </row>
    <row r="131" spans="1:30" outlineLevel="1" x14ac:dyDescent="0.3">
      <c r="A131" s="34" t="s">
        <v>223</v>
      </c>
      <c r="B131" s="71" t="s">
        <v>224</v>
      </c>
      <c r="C131" s="71" t="s">
        <v>15</v>
      </c>
      <c r="D131" s="72">
        <v>5116110</v>
      </c>
      <c r="E131" s="72" t="s">
        <v>225</v>
      </c>
      <c r="F131" s="79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80">
        <v>0</v>
      </c>
      <c r="R131" s="35">
        <f t="shared" ref="R131:R137" si="38">SUM(S131:AD131)</f>
        <v>0</v>
      </c>
      <c r="S131" s="35">
        <v>0</v>
      </c>
      <c r="T131" s="35">
        <v>0</v>
      </c>
      <c r="U131" s="35">
        <v>0</v>
      </c>
      <c r="V131" s="35">
        <v>0</v>
      </c>
      <c r="W131" s="35">
        <v>0</v>
      </c>
      <c r="X131" s="35">
        <v>0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5">
        <v>0</v>
      </c>
    </row>
    <row r="132" spans="1:30" outlineLevel="1" x14ac:dyDescent="0.3">
      <c r="A132" s="34" t="s">
        <v>226</v>
      </c>
      <c r="B132" s="71" t="s">
        <v>224</v>
      </c>
      <c r="C132" s="71" t="s">
        <v>15</v>
      </c>
      <c r="D132" s="72">
        <v>5116120</v>
      </c>
      <c r="E132" s="72" t="s">
        <v>225</v>
      </c>
      <c r="F132" s="79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80">
        <v>0</v>
      </c>
      <c r="R132" s="35">
        <f t="shared" si="38"/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53">
        <v>0</v>
      </c>
      <c r="AD132" s="35">
        <v>0</v>
      </c>
    </row>
    <row r="133" spans="1:30" outlineLevel="1" x14ac:dyDescent="0.3">
      <c r="A133" s="34" t="s">
        <v>227</v>
      </c>
      <c r="B133" s="71" t="s">
        <v>228</v>
      </c>
      <c r="C133" s="71" t="s">
        <v>15</v>
      </c>
      <c r="D133" s="72">
        <v>5116130</v>
      </c>
      <c r="E133" s="72" t="s">
        <v>229</v>
      </c>
      <c r="F133" s="79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  <c r="Q133" s="80">
        <v>0</v>
      </c>
      <c r="R133" s="35">
        <f t="shared" si="38"/>
        <v>0</v>
      </c>
      <c r="S133" s="35">
        <v>0</v>
      </c>
      <c r="T133" s="35">
        <v>0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5">
        <v>0</v>
      </c>
    </row>
    <row r="134" spans="1:30" outlineLevel="1" x14ac:dyDescent="0.3">
      <c r="A134" s="34" t="s">
        <v>230</v>
      </c>
      <c r="B134" s="71" t="s">
        <v>224</v>
      </c>
      <c r="C134" s="71" t="s">
        <v>15</v>
      </c>
      <c r="D134" s="72">
        <v>5116140</v>
      </c>
      <c r="E134" s="72" t="s">
        <v>225</v>
      </c>
      <c r="F134" s="79">
        <v>0</v>
      </c>
      <c r="G134" s="52">
        <v>0</v>
      </c>
      <c r="H134" s="52">
        <v>0</v>
      </c>
      <c r="I134" s="52">
        <v>0</v>
      </c>
      <c r="J134" s="52">
        <v>0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  <c r="Q134" s="80">
        <v>0</v>
      </c>
      <c r="R134" s="35">
        <f t="shared" si="38"/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5">
        <v>0</v>
      </c>
    </row>
    <row r="135" spans="1:30" outlineLevel="1" x14ac:dyDescent="0.3">
      <c r="A135" s="34" t="s">
        <v>231</v>
      </c>
      <c r="B135" s="71" t="s">
        <v>228</v>
      </c>
      <c r="C135" s="71" t="s">
        <v>15</v>
      </c>
      <c r="D135" s="72">
        <v>5116150</v>
      </c>
      <c r="E135" s="72" t="s">
        <v>229</v>
      </c>
      <c r="F135" s="79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80">
        <v>0</v>
      </c>
      <c r="R135" s="35">
        <f t="shared" si="38"/>
        <v>0</v>
      </c>
      <c r="S135" s="35">
        <v>0</v>
      </c>
      <c r="T135" s="35">
        <v>0</v>
      </c>
      <c r="U135" s="35">
        <v>0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0</v>
      </c>
      <c r="AB135" s="35">
        <v>0</v>
      </c>
      <c r="AC135" s="35">
        <v>0</v>
      </c>
      <c r="AD135" s="35">
        <v>0</v>
      </c>
    </row>
    <row r="136" spans="1:30" outlineLevel="1" x14ac:dyDescent="0.3">
      <c r="A136" s="34" t="s">
        <v>232</v>
      </c>
      <c r="B136" s="71" t="s">
        <v>224</v>
      </c>
      <c r="C136" s="71" t="s">
        <v>15</v>
      </c>
      <c r="D136" s="72">
        <v>5116160</v>
      </c>
      <c r="E136" s="72" t="s">
        <v>225</v>
      </c>
      <c r="F136" s="79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80">
        <v>0</v>
      </c>
      <c r="R136" s="35">
        <f t="shared" si="38"/>
        <v>0</v>
      </c>
      <c r="S136" s="35">
        <v>0</v>
      </c>
      <c r="T136" s="35">
        <v>0</v>
      </c>
      <c r="U136" s="35">
        <v>0</v>
      </c>
      <c r="V136" s="35">
        <v>0</v>
      </c>
      <c r="W136" s="53">
        <v>0</v>
      </c>
      <c r="X136" s="35">
        <v>0</v>
      </c>
      <c r="Y136" s="35">
        <v>0</v>
      </c>
      <c r="Z136" s="35">
        <v>0</v>
      </c>
      <c r="AA136" s="53">
        <v>0</v>
      </c>
      <c r="AB136" s="35">
        <v>0</v>
      </c>
      <c r="AC136" s="35">
        <v>0</v>
      </c>
      <c r="AD136" s="35">
        <v>0</v>
      </c>
    </row>
    <row r="137" spans="1:30" outlineLevel="1" x14ac:dyDescent="0.3">
      <c r="A137" s="34" t="s">
        <v>233</v>
      </c>
      <c r="B137" s="71" t="s">
        <v>224</v>
      </c>
      <c r="C137" s="71" t="s">
        <v>15</v>
      </c>
      <c r="D137" s="72">
        <v>5116111</v>
      </c>
      <c r="E137" s="72" t="s">
        <v>225</v>
      </c>
      <c r="F137" s="79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  <c r="Q137" s="80">
        <v>0</v>
      </c>
      <c r="R137" s="35">
        <f t="shared" si="38"/>
        <v>0</v>
      </c>
      <c r="S137" s="35">
        <v>0</v>
      </c>
      <c r="T137" s="35">
        <v>0</v>
      </c>
      <c r="U137" s="35">
        <v>0</v>
      </c>
      <c r="V137" s="35">
        <v>0</v>
      </c>
      <c r="W137" s="53">
        <v>0</v>
      </c>
      <c r="X137" s="35">
        <v>0</v>
      </c>
      <c r="Y137" s="35">
        <v>0</v>
      </c>
      <c r="Z137" s="35">
        <v>0</v>
      </c>
      <c r="AA137" s="53">
        <v>0</v>
      </c>
      <c r="AB137" s="35">
        <v>0</v>
      </c>
      <c r="AC137" s="35">
        <v>0</v>
      </c>
      <c r="AD137" s="35">
        <v>0</v>
      </c>
    </row>
    <row r="138" spans="1:30" x14ac:dyDescent="0.3">
      <c r="A138" s="26" t="s">
        <v>234</v>
      </c>
      <c r="B138" s="73" t="s">
        <v>7</v>
      </c>
      <c r="C138" s="73"/>
      <c r="D138" s="74"/>
      <c r="E138" s="74"/>
      <c r="F138" s="41">
        <f t="shared" ref="F138:J138" si="39">F139</f>
        <v>0</v>
      </c>
      <c r="G138" s="49">
        <f t="shared" si="39"/>
        <v>0</v>
      </c>
      <c r="H138" s="49">
        <f t="shared" si="39"/>
        <v>0</v>
      </c>
      <c r="I138" s="49">
        <f t="shared" si="39"/>
        <v>0</v>
      </c>
      <c r="J138" s="49">
        <f t="shared" si="39"/>
        <v>0</v>
      </c>
      <c r="K138" s="49">
        <v>0</v>
      </c>
      <c r="L138" s="49">
        <v>0</v>
      </c>
      <c r="M138" s="49">
        <v>0</v>
      </c>
      <c r="N138" s="49">
        <v>0</v>
      </c>
      <c r="O138" s="49">
        <v>0</v>
      </c>
      <c r="P138" s="49">
        <v>0</v>
      </c>
      <c r="Q138" s="78">
        <v>0</v>
      </c>
      <c r="R138" s="29">
        <f t="shared" ref="R138:AD138" si="40">R139</f>
        <v>0</v>
      </c>
      <c r="S138" s="29">
        <f t="shared" si="40"/>
        <v>0</v>
      </c>
      <c r="T138" s="29">
        <f t="shared" si="40"/>
        <v>0</v>
      </c>
      <c r="U138" s="29">
        <f t="shared" si="40"/>
        <v>0</v>
      </c>
      <c r="V138" s="29">
        <f t="shared" si="40"/>
        <v>0</v>
      </c>
      <c r="W138" s="50">
        <f t="shared" si="40"/>
        <v>0</v>
      </c>
      <c r="X138" s="29">
        <f t="shared" si="40"/>
        <v>0</v>
      </c>
      <c r="Y138" s="29">
        <f t="shared" si="40"/>
        <v>0</v>
      </c>
      <c r="Z138" s="29">
        <f t="shared" si="40"/>
        <v>0</v>
      </c>
      <c r="AA138" s="50">
        <f t="shared" si="40"/>
        <v>0</v>
      </c>
      <c r="AB138" s="29">
        <f t="shared" si="40"/>
        <v>0</v>
      </c>
      <c r="AC138" s="29">
        <f t="shared" si="40"/>
        <v>0</v>
      </c>
      <c r="AD138" s="29">
        <f t="shared" si="40"/>
        <v>0</v>
      </c>
    </row>
    <row r="139" spans="1:30" outlineLevel="1" x14ac:dyDescent="0.3">
      <c r="A139" s="34" t="s">
        <v>235</v>
      </c>
      <c r="B139" s="71" t="s">
        <v>236</v>
      </c>
      <c r="C139" s="71" t="s">
        <v>15</v>
      </c>
      <c r="D139" s="72">
        <v>5117110</v>
      </c>
      <c r="E139" s="72" t="s">
        <v>237</v>
      </c>
      <c r="F139" s="79">
        <v>0</v>
      </c>
      <c r="G139" s="52">
        <v>0</v>
      </c>
      <c r="H139" s="52">
        <v>0</v>
      </c>
      <c r="I139" s="52">
        <v>0</v>
      </c>
      <c r="J139" s="52">
        <v>0</v>
      </c>
      <c r="K139" s="52">
        <v>0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  <c r="Q139" s="52">
        <v>0</v>
      </c>
      <c r="R139" s="35">
        <f>SUM(S139:AD139)</f>
        <v>0</v>
      </c>
      <c r="S139" s="35">
        <v>0</v>
      </c>
      <c r="T139" s="35">
        <v>0</v>
      </c>
      <c r="U139" s="35">
        <v>0</v>
      </c>
      <c r="V139" s="35">
        <v>0</v>
      </c>
      <c r="W139" s="53">
        <v>0</v>
      </c>
      <c r="X139" s="35">
        <v>0</v>
      </c>
      <c r="Y139" s="35">
        <v>0</v>
      </c>
      <c r="Z139" s="35">
        <v>0</v>
      </c>
      <c r="AA139" s="53">
        <v>0</v>
      </c>
      <c r="AB139" s="35">
        <v>0</v>
      </c>
      <c r="AC139" s="35">
        <v>0</v>
      </c>
      <c r="AD139" s="35">
        <v>0</v>
      </c>
    </row>
    <row r="140" spans="1:30" x14ac:dyDescent="0.3">
      <c r="A140" s="26" t="s">
        <v>238</v>
      </c>
      <c r="B140" s="73" t="s">
        <v>7</v>
      </c>
      <c r="C140" s="73"/>
      <c r="D140" s="74"/>
      <c r="E140" s="74"/>
      <c r="F140" s="41">
        <f t="shared" ref="F140:J140" si="41">SUM(F141:F145)</f>
        <v>0</v>
      </c>
      <c r="G140" s="49">
        <f t="shared" si="41"/>
        <v>0</v>
      </c>
      <c r="H140" s="49">
        <f t="shared" si="41"/>
        <v>0</v>
      </c>
      <c r="I140" s="49">
        <f t="shared" si="41"/>
        <v>0</v>
      </c>
      <c r="J140" s="49">
        <f t="shared" si="41"/>
        <v>563638</v>
      </c>
      <c r="K140" s="49">
        <v>300000</v>
      </c>
      <c r="L140" s="49">
        <v>300000</v>
      </c>
      <c r="M140" s="49">
        <v>300000</v>
      </c>
      <c r="N140" s="49">
        <v>300000</v>
      </c>
      <c r="O140" s="49">
        <v>300000</v>
      </c>
      <c r="P140" s="49">
        <v>300000</v>
      </c>
      <c r="Q140" s="78">
        <v>300000</v>
      </c>
      <c r="R140" s="29">
        <f t="shared" ref="R140:AD140" si="42">SUM(R141:R145)</f>
        <v>3600000</v>
      </c>
      <c r="S140" s="29">
        <f t="shared" si="42"/>
        <v>300000</v>
      </c>
      <c r="T140" s="29">
        <f t="shared" si="42"/>
        <v>300000</v>
      </c>
      <c r="U140" s="50">
        <f t="shared" si="42"/>
        <v>300000</v>
      </c>
      <c r="V140" s="29">
        <f t="shared" si="42"/>
        <v>300000</v>
      </c>
      <c r="W140" s="98">
        <f t="shared" si="42"/>
        <v>300000</v>
      </c>
      <c r="X140" s="29">
        <f t="shared" si="42"/>
        <v>300000</v>
      </c>
      <c r="Y140" s="29">
        <f t="shared" si="42"/>
        <v>300000</v>
      </c>
      <c r="Z140" s="29">
        <f t="shared" si="42"/>
        <v>300000</v>
      </c>
      <c r="AA140" s="50">
        <f t="shared" si="42"/>
        <v>300000</v>
      </c>
      <c r="AB140" s="29">
        <f t="shared" si="42"/>
        <v>300000</v>
      </c>
      <c r="AC140" s="29">
        <f t="shared" si="42"/>
        <v>300000</v>
      </c>
      <c r="AD140" s="29">
        <f t="shared" si="42"/>
        <v>300000</v>
      </c>
    </row>
    <row r="141" spans="1:30" outlineLevel="1" x14ac:dyDescent="0.3">
      <c r="A141" s="34" t="s">
        <v>239</v>
      </c>
      <c r="B141" s="71" t="s">
        <v>240</v>
      </c>
      <c r="C141" s="71" t="s">
        <v>15</v>
      </c>
      <c r="D141" s="72">
        <v>5118110</v>
      </c>
      <c r="E141" s="72" t="s">
        <v>241</v>
      </c>
      <c r="F141" s="79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  <c r="Q141" s="80">
        <v>0</v>
      </c>
      <c r="R141" s="35">
        <f>SUM(S141:AD141)</f>
        <v>0</v>
      </c>
      <c r="S141" s="35">
        <v>0</v>
      </c>
      <c r="T141" s="35">
        <v>0</v>
      </c>
      <c r="U141" s="53">
        <v>0</v>
      </c>
      <c r="V141" s="35">
        <v>0</v>
      </c>
      <c r="W141" s="92">
        <v>0</v>
      </c>
      <c r="X141" s="35">
        <v>0</v>
      </c>
      <c r="Y141" s="35">
        <v>0</v>
      </c>
      <c r="Z141" s="35">
        <v>0</v>
      </c>
      <c r="AA141" s="35">
        <v>0</v>
      </c>
      <c r="AB141" s="35">
        <v>0</v>
      </c>
      <c r="AC141" s="35">
        <v>0</v>
      </c>
      <c r="AD141" s="35">
        <v>0</v>
      </c>
    </row>
    <row r="142" spans="1:30" outlineLevel="1" x14ac:dyDescent="0.3">
      <c r="A142" s="34" t="s">
        <v>242</v>
      </c>
      <c r="B142" s="71" t="s">
        <v>243</v>
      </c>
      <c r="C142" s="71" t="s">
        <v>15</v>
      </c>
      <c r="D142" s="72">
        <v>5118120</v>
      </c>
      <c r="E142" s="72" t="s">
        <v>244</v>
      </c>
      <c r="F142" s="79">
        <v>0</v>
      </c>
      <c r="G142" s="52">
        <v>0</v>
      </c>
      <c r="H142" s="52">
        <v>0</v>
      </c>
      <c r="I142" s="52">
        <v>0</v>
      </c>
      <c r="J142" s="52">
        <v>0</v>
      </c>
      <c r="K142" s="52"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  <c r="Q142" s="80">
        <v>0</v>
      </c>
      <c r="R142" s="35">
        <f>SUM(S142:AD142)</f>
        <v>0</v>
      </c>
      <c r="S142" s="35">
        <v>0</v>
      </c>
      <c r="T142" s="35">
        <v>0</v>
      </c>
      <c r="U142" s="53">
        <v>0</v>
      </c>
      <c r="V142" s="35">
        <v>0</v>
      </c>
      <c r="W142" s="92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</row>
    <row r="143" spans="1:30" outlineLevel="1" x14ac:dyDescent="0.3">
      <c r="A143" s="34" t="s">
        <v>245</v>
      </c>
      <c r="B143" s="71" t="s">
        <v>246</v>
      </c>
      <c r="C143" s="71" t="s">
        <v>15</v>
      </c>
      <c r="D143" s="72">
        <v>5118130</v>
      </c>
      <c r="E143" s="72" t="s">
        <v>247</v>
      </c>
      <c r="F143" s="79">
        <v>0</v>
      </c>
      <c r="G143" s="52">
        <v>0</v>
      </c>
      <c r="H143" s="52">
        <v>0</v>
      </c>
      <c r="I143" s="52">
        <v>0</v>
      </c>
      <c r="J143" s="52">
        <v>563638</v>
      </c>
      <c r="K143" s="52">
        <v>300000</v>
      </c>
      <c r="L143" s="52">
        <v>300000</v>
      </c>
      <c r="M143" s="52">
        <v>300000</v>
      </c>
      <c r="N143" s="52">
        <v>300000</v>
      </c>
      <c r="O143" s="52">
        <v>300000</v>
      </c>
      <c r="P143" s="52">
        <v>300000</v>
      </c>
      <c r="Q143" s="80">
        <v>300000</v>
      </c>
      <c r="R143" s="35">
        <f>SUM(S143:AD143)</f>
        <v>3600000</v>
      </c>
      <c r="S143" s="35">
        <v>300000</v>
      </c>
      <c r="T143" s="35">
        <v>300000</v>
      </c>
      <c r="U143" s="35">
        <v>300000</v>
      </c>
      <c r="V143" s="35">
        <v>300000</v>
      </c>
      <c r="W143" s="35">
        <v>300000</v>
      </c>
      <c r="X143" s="35">
        <v>300000</v>
      </c>
      <c r="Y143" s="35">
        <v>300000</v>
      </c>
      <c r="Z143" s="35">
        <v>300000</v>
      </c>
      <c r="AA143" s="35">
        <v>300000</v>
      </c>
      <c r="AB143" s="35">
        <v>300000</v>
      </c>
      <c r="AC143" s="35">
        <v>300000</v>
      </c>
      <c r="AD143" s="35">
        <v>300000</v>
      </c>
    </row>
    <row r="144" spans="1:30" outlineLevel="1" x14ac:dyDescent="0.3">
      <c r="A144" s="34" t="s">
        <v>248</v>
      </c>
      <c r="B144" s="71" t="s">
        <v>7</v>
      </c>
      <c r="C144" s="71" t="s">
        <v>15</v>
      </c>
      <c r="D144" s="72">
        <v>5118140</v>
      </c>
      <c r="E144" s="72" t="s">
        <v>249</v>
      </c>
      <c r="F144" s="79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  <c r="Q144" s="80">
        <v>0</v>
      </c>
      <c r="R144" s="35">
        <f>SUM(S144:AD144)</f>
        <v>0</v>
      </c>
      <c r="S144" s="35">
        <v>0</v>
      </c>
      <c r="T144" s="35">
        <v>0</v>
      </c>
      <c r="U144" s="35">
        <v>0</v>
      </c>
      <c r="V144" s="35">
        <v>0</v>
      </c>
      <c r="W144" s="51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</row>
    <row r="145" spans="1:30" outlineLevel="1" x14ac:dyDescent="0.3">
      <c r="A145" s="34" t="s">
        <v>250</v>
      </c>
      <c r="B145" s="71" t="s">
        <v>7</v>
      </c>
      <c r="C145" s="71" t="s">
        <v>15</v>
      </c>
      <c r="D145" s="72">
        <v>5118150</v>
      </c>
      <c r="E145" s="72" t="s">
        <v>251</v>
      </c>
      <c r="F145" s="79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80">
        <v>0</v>
      </c>
      <c r="R145" s="35">
        <f>SUM(S145:AD145)</f>
        <v>0</v>
      </c>
      <c r="S145" s="35">
        <v>0</v>
      </c>
      <c r="T145" s="35">
        <v>0</v>
      </c>
      <c r="U145" s="35">
        <v>0</v>
      </c>
      <c r="V145" s="35">
        <v>0</v>
      </c>
      <c r="W145" s="51">
        <v>0</v>
      </c>
      <c r="X145" s="35">
        <v>0</v>
      </c>
      <c r="Y145" s="35">
        <v>0</v>
      </c>
      <c r="Z145" s="35">
        <v>0</v>
      </c>
      <c r="AA145" s="35">
        <v>0</v>
      </c>
      <c r="AB145" s="35">
        <v>0</v>
      </c>
      <c r="AC145" s="35">
        <v>0</v>
      </c>
      <c r="AD145" s="35">
        <v>0</v>
      </c>
    </row>
    <row r="146" spans="1:30" x14ac:dyDescent="0.3">
      <c r="A146" s="26" t="s">
        <v>252</v>
      </c>
      <c r="B146" s="73" t="s">
        <v>7</v>
      </c>
      <c r="C146" s="73"/>
      <c r="D146" s="74"/>
      <c r="E146" s="74"/>
      <c r="F146" s="41">
        <f t="shared" ref="F146:J146" si="43">SUM(F147:F148)</f>
        <v>0</v>
      </c>
      <c r="G146" s="49">
        <f t="shared" si="43"/>
        <v>0</v>
      </c>
      <c r="H146" s="49">
        <f t="shared" si="43"/>
        <v>0</v>
      </c>
      <c r="I146" s="49">
        <f t="shared" si="43"/>
        <v>0</v>
      </c>
      <c r="J146" s="49">
        <f t="shared" si="43"/>
        <v>0</v>
      </c>
      <c r="K146" s="49">
        <v>72000</v>
      </c>
      <c r="L146" s="49">
        <v>72000</v>
      </c>
      <c r="M146" s="49">
        <v>72000</v>
      </c>
      <c r="N146" s="49">
        <v>72000</v>
      </c>
      <c r="O146" s="49">
        <v>72000</v>
      </c>
      <c r="P146" s="49">
        <v>72000</v>
      </c>
      <c r="Q146" s="78">
        <v>72000</v>
      </c>
      <c r="R146" s="29">
        <f t="shared" ref="R146:AD146" si="44">SUM(R147:R148)</f>
        <v>864000</v>
      </c>
      <c r="S146" s="29">
        <f t="shared" si="44"/>
        <v>72000</v>
      </c>
      <c r="T146" s="29">
        <f t="shared" si="44"/>
        <v>72000</v>
      </c>
      <c r="U146" s="29">
        <f t="shared" si="44"/>
        <v>72000</v>
      </c>
      <c r="V146" s="29">
        <f t="shared" si="44"/>
        <v>72000</v>
      </c>
      <c r="W146" s="48">
        <f t="shared" si="44"/>
        <v>72000</v>
      </c>
      <c r="X146" s="29">
        <f t="shared" si="44"/>
        <v>72000</v>
      </c>
      <c r="Y146" s="29">
        <f t="shared" si="44"/>
        <v>72000</v>
      </c>
      <c r="Z146" s="29">
        <f t="shared" si="44"/>
        <v>72000</v>
      </c>
      <c r="AA146" s="29">
        <f t="shared" si="44"/>
        <v>72000</v>
      </c>
      <c r="AB146" s="29">
        <f t="shared" si="44"/>
        <v>72000</v>
      </c>
      <c r="AC146" s="29">
        <f t="shared" si="44"/>
        <v>72000</v>
      </c>
      <c r="AD146" s="29">
        <f t="shared" si="44"/>
        <v>72000</v>
      </c>
    </row>
    <row r="147" spans="1:30" outlineLevel="1" x14ac:dyDescent="0.3">
      <c r="A147" s="34" t="s">
        <v>253</v>
      </c>
      <c r="B147" s="71" t="s">
        <v>254</v>
      </c>
      <c r="C147" s="71" t="s">
        <v>15</v>
      </c>
      <c r="D147" s="72">
        <v>5130110</v>
      </c>
      <c r="E147" s="72" t="s">
        <v>249</v>
      </c>
      <c r="F147" s="79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80">
        <v>0</v>
      </c>
      <c r="R147" s="35">
        <f>SUM(S147:AD147)</f>
        <v>0</v>
      </c>
      <c r="S147" s="35">
        <v>0</v>
      </c>
      <c r="T147" s="35">
        <v>0</v>
      </c>
      <c r="U147" s="35">
        <v>0</v>
      </c>
      <c r="V147" s="35">
        <v>0</v>
      </c>
      <c r="W147" s="51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</row>
    <row r="148" spans="1:30" outlineLevel="1" x14ac:dyDescent="0.3">
      <c r="A148" s="34" t="s">
        <v>255</v>
      </c>
      <c r="B148" s="71" t="s">
        <v>256</v>
      </c>
      <c r="C148" s="71" t="s">
        <v>15</v>
      </c>
      <c r="D148" s="72">
        <v>5130120</v>
      </c>
      <c r="E148" s="72" t="s">
        <v>251</v>
      </c>
      <c r="F148" s="79">
        <v>0</v>
      </c>
      <c r="G148" s="52">
        <v>0</v>
      </c>
      <c r="H148" s="52">
        <v>0</v>
      </c>
      <c r="I148" s="52">
        <v>0</v>
      </c>
      <c r="J148" s="52">
        <v>0</v>
      </c>
      <c r="K148" s="52">
        <v>72000</v>
      </c>
      <c r="L148" s="52">
        <v>72000</v>
      </c>
      <c r="M148" s="52">
        <v>72000</v>
      </c>
      <c r="N148" s="52">
        <v>72000</v>
      </c>
      <c r="O148" s="52">
        <v>72000</v>
      </c>
      <c r="P148" s="52">
        <v>72000</v>
      </c>
      <c r="Q148" s="52">
        <v>72000</v>
      </c>
      <c r="R148" s="35">
        <f>SUM(S148:AD148)</f>
        <v>864000</v>
      </c>
      <c r="S148" s="35">
        <v>72000</v>
      </c>
      <c r="T148" s="35">
        <v>72000</v>
      </c>
      <c r="U148" s="35">
        <v>72000</v>
      </c>
      <c r="V148" s="35">
        <v>72000</v>
      </c>
      <c r="W148" s="35">
        <v>72000</v>
      </c>
      <c r="X148" s="35">
        <v>72000</v>
      </c>
      <c r="Y148" s="35">
        <v>72000</v>
      </c>
      <c r="Z148" s="35">
        <v>72000</v>
      </c>
      <c r="AA148" s="35">
        <v>72000</v>
      </c>
      <c r="AB148" s="35">
        <v>72000</v>
      </c>
      <c r="AC148" s="35">
        <v>72000</v>
      </c>
      <c r="AD148" s="35">
        <v>72000</v>
      </c>
    </row>
    <row r="149" spans="1:30" x14ac:dyDescent="0.3">
      <c r="A149" s="26" t="s">
        <v>257</v>
      </c>
      <c r="B149" s="73" t="s">
        <v>7</v>
      </c>
      <c r="C149" s="73"/>
      <c r="D149" s="74"/>
      <c r="E149" s="74"/>
      <c r="F149" s="41">
        <f t="shared" ref="F149:J149" si="45">SUM(F150:F157)</f>
        <v>0</v>
      </c>
      <c r="G149" s="49">
        <f t="shared" si="45"/>
        <v>283600</v>
      </c>
      <c r="H149" s="49">
        <f t="shared" si="45"/>
        <v>0</v>
      </c>
      <c r="I149" s="49">
        <f t="shared" si="45"/>
        <v>0</v>
      </c>
      <c r="J149" s="49">
        <f t="shared" si="45"/>
        <v>0</v>
      </c>
      <c r="K149" s="49">
        <v>200000</v>
      </c>
      <c r="L149" s="49">
        <v>200000</v>
      </c>
      <c r="M149" s="49">
        <v>200000</v>
      </c>
      <c r="N149" s="49">
        <v>200000</v>
      </c>
      <c r="O149" s="49">
        <v>200000</v>
      </c>
      <c r="P149" s="49">
        <v>200000</v>
      </c>
      <c r="Q149" s="78">
        <v>200000</v>
      </c>
      <c r="R149" s="29">
        <f t="shared" ref="R149:AD149" si="46">SUM(R150:R157)</f>
        <v>2400000</v>
      </c>
      <c r="S149" s="29">
        <f t="shared" si="46"/>
        <v>200000</v>
      </c>
      <c r="T149" s="29">
        <f t="shared" si="46"/>
        <v>200000</v>
      </c>
      <c r="U149" s="29">
        <f t="shared" si="46"/>
        <v>200000</v>
      </c>
      <c r="V149" s="29">
        <f t="shared" si="46"/>
        <v>200000</v>
      </c>
      <c r="W149" s="48">
        <f t="shared" si="46"/>
        <v>200000</v>
      </c>
      <c r="X149" s="29">
        <f t="shared" si="46"/>
        <v>200000</v>
      </c>
      <c r="Y149" s="29">
        <f t="shared" si="46"/>
        <v>200000</v>
      </c>
      <c r="Z149" s="29">
        <f t="shared" si="46"/>
        <v>200000</v>
      </c>
      <c r="AA149" s="29">
        <f t="shared" si="46"/>
        <v>200000</v>
      </c>
      <c r="AB149" s="29">
        <f t="shared" si="46"/>
        <v>200000</v>
      </c>
      <c r="AC149" s="29">
        <f t="shared" si="46"/>
        <v>200000</v>
      </c>
      <c r="AD149" s="29">
        <f t="shared" si="46"/>
        <v>200000</v>
      </c>
    </row>
    <row r="150" spans="1:30" outlineLevel="1" x14ac:dyDescent="0.3">
      <c r="A150" s="34" t="s">
        <v>258</v>
      </c>
      <c r="B150" s="71" t="s">
        <v>259</v>
      </c>
      <c r="C150" s="71" t="s">
        <v>15</v>
      </c>
      <c r="D150" s="72">
        <v>5119110</v>
      </c>
      <c r="E150" s="72" t="s">
        <v>260</v>
      </c>
      <c r="F150" s="79">
        <v>0</v>
      </c>
      <c r="G150" s="52">
        <v>283600</v>
      </c>
      <c r="H150" s="52">
        <v>0</v>
      </c>
      <c r="I150" s="52">
        <v>0</v>
      </c>
      <c r="J150" s="52">
        <v>0</v>
      </c>
      <c r="K150" s="52">
        <v>100000</v>
      </c>
      <c r="L150" s="52">
        <v>100000</v>
      </c>
      <c r="M150" s="52">
        <v>100000</v>
      </c>
      <c r="N150" s="52">
        <v>100000</v>
      </c>
      <c r="O150" s="52">
        <v>100000</v>
      </c>
      <c r="P150" s="52">
        <v>100000</v>
      </c>
      <c r="Q150" s="80">
        <v>100000</v>
      </c>
      <c r="R150" s="35">
        <f t="shared" ref="R150:R157" si="47">SUM(S150:AD150)</f>
        <v>1200000</v>
      </c>
      <c r="S150" s="35">
        <v>100000</v>
      </c>
      <c r="T150" s="35">
        <v>100000</v>
      </c>
      <c r="U150" s="35">
        <v>100000</v>
      </c>
      <c r="V150" s="35">
        <v>100000</v>
      </c>
      <c r="W150" s="35">
        <v>100000</v>
      </c>
      <c r="X150" s="35">
        <v>100000</v>
      </c>
      <c r="Y150" s="35">
        <v>100000</v>
      </c>
      <c r="Z150" s="35">
        <v>100000</v>
      </c>
      <c r="AA150" s="35">
        <v>100000</v>
      </c>
      <c r="AB150" s="35">
        <v>100000</v>
      </c>
      <c r="AC150" s="35">
        <v>100000</v>
      </c>
      <c r="AD150" s="35">
        <v>100000</v>
      </c>
    </row>
    <row r="151" spans="1:30" outlineLevel="1" x14ac:dyDescent="0.3">
      <c r="A151" s="34" t="s">
        <v>261</v>
      </c>
      <c r="B151" s="71" t="s">
        <v>262</v>
      </c>
      <c r="C151" s="71" t="s">
        <v>15</v>
      </c>
      <c r="D151" s="72">
        <v>5119120</v>
      </c>
      <c r="E151" s="72" t="s">
        <v>263</v>
      </c>
      <c r="F151" s="79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  <c r="Q151" s="80">
        <v>0</v>
      </c>
      <c r="R151" s="35">
        <f t="shared" si="47"/>
        <v>0</v>
      </c>
      <c r="S151" s="35">
        <v>0</v>
      </c>
      <c r="T151" s="35">
        <v>0</v>
      </c>
      <c r="U151" s="35">
        <v>0</v>
      </c>
      <c r="V151" s="35">
        <v>0</v>
      </c>
      <c r="W151" s="51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5">
        <v>0</v>
      </c>
    </row>
    <row r="152" spans="1:30" outlineLevel="1" x14ac:dyDescent="0.3">
      <c r="A152" s="34" t="s">
        <v>264</v>
      </c>
      <c r="B152" s="71" t="s">
        <v>265</v>
      </c>
      <c r="C152" s="71" t="s">
        <v>15</v>
      </c>
      <c r="D152" s="72">
        <v>5119130</v>
      </c>
      <c r="E152" s="72" t="s">
        <v>266</v>
      </c>
      <c r="F152" s="79">
        <v>0</v>
      </c>
      <c r="G152" s="52">
        <v>0</v>
      </c>
      <c r="H152" s="52">
        <v>0</v>
      </c>
      <c r="I152" s="52">
        <v>0</v>
      </c>
      <c r="J152" s="52">
        <v>0</v>
      </c>
      <c r="K152" s="52">
        <v>0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  <c r="Q152" s="80">
        <v>0</v>
      </c>
      <c r="R152" s="35">
        <f t="shared" si="47"/>
        <v>0</v>
      </c>
      <c r="S152" s="35">
        <v>0</v>
      </c>
      <c r="T152" s="35">
        <v>0</v>
      </c>
      <c r="U152" s="35">
        <v>0</v>
      </c>
      <c r="V152" s="35">
        <v>0</v>
      </c>
      <c r="W152" s="51">
        <v>0</v>
      </c>
      <c r="X152" s="35">
        <v>0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5">
        <v>0</v>
      </c>
    </row>
    <row r="153" spans="1:30" outlineLevel="1" x14ac:dyDescent="0.3">
      <c r="A153" s="34" t="s">
        <v>267</v>
      </c>
      <c r="B153" s="71" t="s">
        <v>268</v>
      </c>
      <c r="C153" s="71" t="s">
        <v>15</v>
      </c>
      <c r="D153" s="72">
        <v>5119140</v>
      </c>
      <c r="E153" s="72" t="s">
        <v>269</v>
      </c>
      <c r="F153" s="79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80">
        <v>0</v>
      </c>
      <c r="R153" s="35">
        <f t="shared" si="47"/>
        <v>0</v>
      </c>
      <c r="S153" s="35">
        <v>0</v>
      </c>
      <c r="T153" s="35">
        <v>0</v>
      </c>
      <c r="U153" s="35">
        <v>0</v>
      </c>
      <c r="V153" s="35">
        <v>0</v>
      </c>
      <c r="W153" s="51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5">
        <v>0</v>
      </c>
    </row>
    <row r="154" spans="1:30" outlineLevel="1" x14ac:dyDescent="0.3">
      <c r="A154" s="34" t="s">
        <v>270</v>
      </c>
      <c r="B154" s="71" t="s">
        <v>271</v>
      </c>
      <c r="C154" s="71" t="s">
        <v>15</v>
      </c>
      <c r="D154" s="72">
        <v>5119150</v>
      </c>
      <c r="E154" s="72" t="s">
        <v>272</v>
      </c>
      <c r="F154" s="79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100000</v>
      </c>
      <c r="L154" s="52">
        <v>100000</v>
      </c>
      <c r="M154" s="52">
        <v>100000</v>
      </c>
      <c r="N154" s="52">
        <v>100000</v>
      </c>
      <c r="O154" s="52">
        <v>100000</v>
      </c>
      <c r="P154" s="52">
        <v>100000</v>
      </c>
      <c r="Q154" s="80">
        <v>100000</v>
      </c>
      <c r="R154" s="35">
        <f t="shared" si="47"/>
        <v>1200000</v>
      </c>
      <c r="S154" s="35">
        <v>100000</v>
      </c>
      <c r="T154" s="35">
        <v>100000</v>
      </c>
      <c r="U154" s="35">
        <v>100000</v>
      </c>
      <c r="V154" s="35">
        <v>100000</v>
      </c>
      <c r="W154" s="35">
        <v>100000</v>
      </c>
      <c r="X154" s="35">
        <v>100000</v>
      </c>
      <c r="Y154" s="35">
        <v>100000</v>
      </c>
      <c r="Z154" s="35">
        <v>100000</v>
      </c>
      <c r="AA154" s="35">
        <v>100000</v>
      </c>
      <c r="AB154" s="35">
        <v>100000</v>
      </c>
      <c r="AC154" s="35">
        <v>100000</v>
      </c>
      <c r="AD154" s="35">
        <v>100000</v>
      </c>
    </row>
    <row r="155" spans="1:30" outlineLevel="1" x14ac:dyDescent="0.3">
      <c r="A155" s="34" t="s">
        <v>273</v>
      </c>
      <c r="B155" s="71" t="s">
        <v>274</v>
      </c>
      <c r="C155" s="71" t="s">
        <v>15</v>
      </c>
      <c r="D155" s="72">
        <v>5119160</v>
      </c>
      <c r="E155" s="72" t="s">
        <v>275</v>
      </c>
      <c r="F155" s="79">
        <v>0</v>
      </c>
      <c r="G155" s="52">
        <v>0</v>
      </c>
      <c r="H155" s="52">
        <v>0</v>
      </c>
      <c r="I155" s="52">
        <v>0</v>
      </c>
      <c r="J155" s="52">
        <v>0</v>
      </c>
      <c r="K155" s="52">
        <v>0</v>
      </c>
      <c r="L155" s="52">
        <v>0</v>
      </c>
      <c r="M155" s="52">
        <v>0</v>
      </c>
      <c r="N155" s="52">
        <v>0</v>
      </c>
      <c r="O155" s="52">
        <v>0</v>
      </c>
      <c r="P155" s="52">
        <v>0</v>
      </c>
      <c r="Q155" s="80">
        <v>0</v>
      </c>
      <c r="R155" s="35">
        <f t="shared" si="47"/>
        <v>0</v>
      </c>
      <c r="S155" s="35">
        <v>0</v>
      </c>
      <c r="T155" s="35">
        <v>0</v>
      </c>
      <c r="U155" s="35">
        <v>0</v>
      </c>
      <c r="V155" s="35">
        <v>0</v>
      </c>
      <c r="W155" s="51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0</v>
      </c>
      <c r="AC155" s="35">
        <v>0</v>
      </c>
      <c r="AD155" s="35">
        <v>0</v>
      </c>
    </row>
    <row r="156" spans="1:30" outlineLevel="1" x14ac:dyDescent="0.3">
      <c r="A156" s="34" t="s">
        <v>276</v>
      </c>
      <c r="B156" s="71" t="s">
        <v>276</v>
      </c>
      <c r="C156" s="71" t="s">
        <v>15</v>
      </c>
      <c r="D156" s="72">
        <v>5119121</v>
      </c>
      <c r="E156" s="72" t="s">
        <v>277</v>
      </c>
      <c r="F156" s="79">
        <v>0</v>
      </c>
      <c r="G156" s="52">
        <v>0</v>
      </c>
      <c r="H156" s="52">
        <v>0</v>
      </c>
      <c r="I156" s="52">
        <v>0</v>
      </c>
      <c r="J156" s="52">
        <v>0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  <c r="Q156" s="80">
        <v>0</v>
      </c>
      <c r="R156" s="35">
        <f t="shared" si="47"/>
        <v>0</v>
      </c>
      <c r="S156" s="35">
        <v>0</v>
      </c>
      <c r="T156" s="35">
        <v>0</v>
      </c>
      <c r="U156" s="35">
        <v>0</v>
      </c>
      <c r="V156" s="35">
        <v>0</v>
      </c>
      <c r="W156" s="51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</row>
    <row r="157" spans="1:30" outlineLevel="1" x14ac:dyDescent="0.3">
      <c r="A157" s="34" t="s">
        <v>278</v>
      </c>
      <c r="B157" s="75" t="s">
        <v>279</v>
      </c>
      <c r="C157" s="75" t="s">
        <v>15</v>
      </c>
      <c r="D157" s="72">
        <v>5119151</v>
      </c>
      <c r="E157" s="72" t="s">
        <v>272</v>
      </c>
      <c r="F157" s="79">
        <v>0</v>
      </c>
      <c r="G157" s="52">
        <v>0</v>
      </c>
      <c r="H157" s="52">
        <v>0</v>
      </c>
      <c r="I157" s="52">
        <v>0</v>
      </c>
      <c r="J157" s="52">
        <v>0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  <c r="Q157" s="80">
        <v>0</v>
      </c>
      <c r="R157" s="35">
        <f t="shared" si="47"/>
        <v>0</v>
      </c>
      <c r="S157" s="35">
        <v>0</v>
      </c>
      <c r="T157" s="35">
        <v>0</v>
      </c>
      <c r="U157" s="35">
        <v>0</v>
      </c>
      <c r="V157" s="35">
        <v>0</v>
      </c>
      <c r="W157" s="51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</row>
    <row r="158" spans="1:30" x14ac:dyDescent="0.3">
      <c r="A158" s="26" t="s">
        <v>280</v>
      </c>
      <c r="B158" s="73" t="s">
        <v>7</v>
      </c>
      <c r="C158" s="73"/>
      <c r="D158" s="74"/>
      <c r="E158" s="74"/>
      <c r="F158" s="41">
        <f t="shared" ref="F158:J158" si="48">SUM(F159:F162)</f>
        <v>0</v>
      </c>
      <c r="G158" s="49">
        <f t="shared" si="48"/>
        <v>0</v>
      </c>
      <c r="H158" s="49">
        <f t="shared" si="48"/>
        <v>0</v>
      </c>
      <c r="I158" s="49">
        <f t="shared" si="48"/>
        <v>0</v>
      </c>
      <c r="J158" s="49">
        <f t="shared" si="48"/>
        <v>179000</v>
      </c>
      <c r="K158" s="49">
        <v>400000</v>
      </c>
      <c r="L158" s="49">
        <v>400000</v>
      </c>
      <c r="M158" s="49">
        <v>400000</v>
      </c>
      <c r="N158" s="49">
        <v>400000</v>
      </c>
      <c r="O158" s="49">
        <v>400000</v>
      </c>
      <c r="P158" s="49">
        <v>400000</v>
      </c>
      <c r="Q158" s="78">
        <v>400000</v>
      </c>
      <c r="R158" s="29">
        <f t="shared" ref="R158:AD158" si="49">SUM(R159:R162)</f>
        <v>6000000</v>
      </c>
      <c r="S158" s="29">
        <f t="shared" si="49"/>
        <v>500000</v>
      </c>
      <c r="T158" s="29">
        <f t="shared" si="49"/>
        <v>500000</v>
      </c>
      <c r="U158" s="29">
        <f t="shared" si="49"/>
        <v>500000</v>
      </c>
      <c r="V158" s="29">
        <f t="shared" si="49"/>
        <v>500000</v>
      </c>
      <c r="W158" s="48">
        <f t="shared" si="49"/>
        <v>500000</v>
      </c>
      <c r="X158" s="29">
        <f t="shared" si="49"/>
        <v>500000</v>
      </c>
      <c r="Y158" s="29">
        <f t="shared" si="49"/>
        <v>500000</v>
      </c>
      <c r="Z158" s="29">
        <f t="shared" si="49"/>
        <v>500000</v>
      </c>
      <c r="AA158" s="29">
        <f t="shared" si="49"/>
        <v>500000</v>
      </c>
      <c r="AB158" s="29">
        <f t="shared" si="49"/>
        <v>500000</v>
      </c>
      <c r="AC158" s="29">
        <f t="shared" si="49"/>
        <v>500000</v>
      </c>
      <c r="AD158" s="29">
        <f t="shared" si="49"/>
        <v>500000</v>
      </c>
    </row>
    <row r="159" spans="1:30" outlineLevel="1" x14ac:dyDescent="0.3">
      <c r="A159" s="34" t="s">
        <v>281</v>
      </c>
      <c r="B159" s="71" t="s">
        <v>282</v>
      </c>
      <c r="C159" s="71" t="s">
        <v>27</v>
      </c>
      <c r="D159" s="72">
        <v>5120110</v>
      </c>
      <c r="E159" s="72" t="s">
        <v>283</v>
      </c>
      <c r="F159" s="79">
        <v>0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  <c r="Q159" s="80">
        <v>0</v>
      </c>
      <c r="R159" s="35">
        <f>SUM(S159:AD159)</f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0</v>
      </c>
      <c r="X159" s="35">
        <v>0</v>
      </c>
      <c r="Y159" s="35">
        <v>0</v>
      </c>
      <c r="Z159" s="35">
        <v>0</v>
      </c>
      <c r="AA159" s="35">
        <v>0</v>
      </c>
      <c r="AB159" s="35">
        <v>0</v>
      </c>
      <c r="AC159" s="35">
        <v>0</v>
      </c>
      <c r="AD159" s="35">
        <v>0</v>
      </c>
    </row>
    <row r="160" spans="1:30" outlineLevel="1" x14ac:dyDescent="0.3">
      <c r="A160" s="40" t="s">
        <v>284</v>
      </c>
      <c r="B160" s="71" t="s">
        <v>282</v>
      </c>
      <c r="C160" s="71" t="s">
        <v>27</v>
      </c>
      <c r="D160" s="72">
        <v>5120140</v>
      </c>
      <c r="E160" s="72" t="s">
        <v>283</v>
      </c>
      <c r="F160" s="79">
        <v>0</v>
      </c>
      <c r="G160" s="52">
        <v>0</v>
      </c>
      <c r="H160" s="52">
        <v>0</v>
      </c>
      <c r="I160" s="52">
        <v>0</v>
      </c>
      <c r="J160" s="52">
        <v>179000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  <c r="Q160" s="80">
        <v>0</v>
      </c>
      <c r="R160" s="35">
        <f>SUM(S160:AD160)</f>
        <v>0</v>
      </c>
      <c r="S160" s="35">
        <v>0</v>
      </c>
      <c r="T160" s="35">
        <v>0</v>
      </c>
      <c r="U160" s="35">
        <v>0</v>
      </c>
      <c r="V160" s="35">
        <v>0</v>
      </c>
      <c r="W160" s="51">
        <v>0</v>
      </c>
      <c r="X160" s="35">
        <v>0</v>
      </c>
      <c r="Y160" s="35">
        <v>0</v>
      </c>
      <c r="Z160" s="35">
        <v>0</v>
      </c>
      <c r="AA160" s="35">
        <v>0</v>
      </c>
      <c r="AB160" s="35">
        <v>0</v>
      </c>
      <c r="AC160" s="35">
        <v>0</v>
      </c>
      <c r="AD160" s="35">
        <v>0</v>
      </c>
    </row>
    <row r="161" spans="1:30" outlineLevel="1" x14ac:dyDescent="0.3">
      <c r="A161" s="40" t="s">
        <v>285</v>
      </c>
      <c r="B161" s="71" t="s">
        <v>282</v>
      </c>
      <c r="C161" s="71" t="s">
        <v>27</v>
      </c>
      <c r="D161" s="72">
        <v>5120130</v>
      </c>
      <c r="E161" s="72" t="s">
        <v>283</v>
      </c>
      <c r="F161" s="79">
        <v>0</v>
      </c>
      <c r="G161" s="52">
        <v>0</v>
      </c>
      <c r="H161" s="52">
        <v>0</v>
      </c>
      <c r="I161" s="52">
        <v>0</v>
      </c>
      <c r="J161" s="52">
        <v>0</v>
      </c>
      <c r="K161" s="52">
        <v>0</v>
      </c>
      <c r="L161" s="52">
        <v>0</v>
      </c>
      <c r="M161" s="52">
        <v>0</v>
      </c>
      <c r="N161" s="52">
        <v>0</v>
      </c>
      <c r="O161" s="52">
        <v>0</v>
      </c>
      <c r="P161" s="52">
        <v>0</v>
      </c>
      <c r="Q161" s="80">
        <v>0</v>
      </c>
      <c r="R161" s="35">
        <f>SUM(S161:AD161)</f>
        <v>0</v>
      </c>
      <c r="S161" s="35">
        <v>0</v>
      </c>
      <c r="T161" s="35">
        <v>0</v>
      </c>
      <c r="U161" s="35">
        <v>0</v>
      </c>
      <c r="V161" s="35">
        <v>0</v>
      </c>
      <c r="W161" s="51">
        <v>0</v>
      </c>
      <c r="X161" s="35">
        <v>0</v>
      </c>
      <c r="Y161" s="35">
        <v>0</v>
      </c>
      <c r="Z161" s="35">
        <v>0</v>
      </c>
      <c r="AA161" s="35">
        <v>0</v>
      </c>
      <c r="AB161" s="35">
        <v>0</v>
      </c>
      <c r="AC161" s="35">
        <v>0</v>
      </c>
      <c r="AD161" s="35">
        <v>0</v>
      </c>
    </row>
    <row r="162" spans="1:30" s="97" customFormat="1" outlineLevel="1" x14ac:dyDescent="0.3">
      <c r="A162" s="40" t="s">
        <v>286</v>
      </c>
      <c r="B162" s="75" t="s">
        <v>282</v>
      </c>
      <c r="C162" s="75" t="s">
        <v>27</v>
      </c>
      <c r="D162" s="93">
        <v>5120120</v>
      </c>
      <c r="E162" s="93" t="s">
        <v>283</v>
      </c>
      <c r="F162" s="95">
        <v>0</v>
      </c>
      <c r="G162" s="56">
        <v>0</v>
      </c>
      <c r="H162" s="56">
        <v>0</v>
      </c>
      <c r="I162" s="56">
        <v>0</v>
      </c>
      <c r="J162" s="56">
        <v>0</v>
      </c>
      <c r="K162" s="56">
        <v>400000</v>
      </c>
      <c r="L162" s="56">
        <v>400000</v>
      </c>
      <c r="M162" s="56">
        <v>400000</v>
      </c>
      <c r="N162" s="56">
        <v>400000</v>
      </c>
      <c r="O162" s="56">
        <v>400000</v>
      </c>
      <c r="P162" s="56">
        <v>400000</v>
      </c>
      <c r="Q162" s="96">
        <v>400000</v>
      </c>
      <c r="R162" s="94">
        <f>SUM(S162:AD162)</f>
        <v>6000000</v>
      </c>
      <c r="S162" s="94">
        <v>500000</v>
      </c>
      <c r="T162" s="94">
        <v>500000</v>
      </c>
      <c r="U162" s="94">
        <v>500000</v>
      </c>
      <c r="V162" s="94">
        <v>500000</v>
      </c>
      <c r="W162" s="94">
        <v>500000</v>
      </c>
      <c r="X162" s="94">
        <v>500000</v>
      </c>
      <c r="Y162" s="94">
        <v>500000</v>
      </c>
      <c r="Z162" s="94">
        <v>500000</v>
      </c>
      <c r="AA162" s="94">
        <v>500000</v>
      </c>
      <c r="AB162" s="94">
        <v>500000</v>
      </c>
      <c r="AC162" s="94">
        <v>500000</v>
      </c>
      <c r="AD162" s="94">
        <v>500000</v>
      </c>
    </row>
    <row r="163" spans="1:30" x14ac:dyDescent="0.3">
      <c r="A163" s="26" t="s">
        <v>287</v>
      </c>
      <c r="B163" s="73" t="s">
        <v>7</v>
      </c>
      <c r="C163" s="73"/>
      <c r="D163" s="74"/>
      <c r="E163" s="74"/>
      <c r="F163" s="41">
        <f t="shared" ref="F163:J163" si="50">SUM(F164:F167)</f>
        <v>720000</v>
      </c>
      <c r="G163" s="49">
        <f t="shared" si="50"/>
        <v>0</v>
      </c>
      <c r="H163" s="49">
        <f t="shared" si="50"/>
        <v>0</v>
      </c>
      <c r="I163" s="49">
        <f t="shared" si="50"/>
        <v>0</v>
      </c>
      <c r="J163" s="49">
        <f t="shared" si="50"/>
        <v>720000</v>
      </c>
      <c r="K163" s="49">
        <v>1828000</v>
      </c>
      <c r="L163" s="49">
        <v>964000</v>
      </c>
      <c r="M163" s="49">
        <v>100000</v>
      </c>
      <c r="N163" s="49">
        <v>100000</v>
      </c>
      <c r="O163" s="49">
        <v>100000</v>
      </c>
      <c r="P163" s="49">
        <v>100000</v>
      </c>
      <c r="Q163" s="78">
        <v>100000</v>
      </c>
      <c r="R163" s="29">
        <f t="shared" ref="R163:AD163" si="51">SUM(R164:R167)</f>
        <v>4400000</v>
      </c>
      <c r="S163" s="29">
        <f t="shared" si="51"/>
        <v>0</v>
      </c>
      <c r="T163" s="29">
        <f t="shared" si="51"/>
        <v>0</v>
      </c>
      <c r="U163" s="29">
        <f t="shared" si="51"/>
        <v>800000</v>
      </c>
      <c r="V163" s="29">
        <f t="shared" si="51"/>
        <v>0</v>
      </c>
      <c r="W163" s="48">
        <f t="shared" si="51"/>
        <v>0</v>
      </c>
      <c r="X163" s="29">
        <f t="shared" si="51"/>
        <v>800000</v>
      </c>
      <c r="Y163" s="29">
        <f t="shared" si="51"/>
        <v>800000</v>
      </c>
      <c r="Z163" s="29">
        <f t="shared" si="51"/>
        <v>0</v>
      </c>
      <c r="AA163" s="29">
        <f t="shared" si="51"/>
        <v>1200000</v>
      </c>
      <c r="AB163" s="29">
        <f t="shared" si="51"/>
        <v>0</v>
      </c>
      <c r="AC163" s="29">
        <f t="shared" si="51"/>
        <v>0</v>
      </c>
      <c r="AD163" s="29">
        <f t="shared" si="51"/>
        <v>800000</v>
      </c>
    </row>
    <row r="164" spans="1:30" outlineLevel="1" x14ac:dyDescent="0.3">
      <c r="A164" s="34" t="s">
        <v>288</v>
      </c>
      <c r="B164" s="71" t="s">
        <v>288</v>
      </c>
      <c r="C164" s="71" t="s">
        <v>15</v>
      </c>
      <c r="D164" s="72">
        <v>5121110</v>
      </c>
      <c r="E164" s="72" t="s">
        <v>289</v>
      </c>
      <c r="F164" s="79">
        <v>0</v>
      </c>
      <c r="G164" s="52">
        <v>0</v>
      </c>
      <c r="H164" s="52">
        <v>0</v>
      </c>
      <c r="I164" s="52">
        <v>0</v>
      </c>
      <c r="J164" s="52">
        <v>0</v>
      </c>
      <c r="K164" s="52">
        <v>0</v>
      </c>
      <c r="L164" s="52">
        <v>0</v>
      </c>
      <c r="M164" s="52">
        <v>0</v>
      </c>
      <c r="N164" s="52">
        <v>0</v>
      </c>
      <c r="O164" s="52">
        <v>0</v>
      </c>
      <c r="P164" s="52">
        <v>0</v>
      </c>
      <c r="Q164" s="80">
        <v>0</v>
      </c>
      <c r="R164" s="35">
        <f>SUM(S164:AD164)</f>
        <v>0</v>
      </c>
      <c r="S164" s="35">
        <v>0</v>
      </c>
      <c r="T164" s="35">
        <v>0</v>
      </c>
      <c r="U164" s="35">
        <v>0</v>
      </c>
      <c r="V164" s="35">
        <v>0</v>
      </c>
      <c r="W164" s="51">
        <v>0</v>
      </c>
      <c r="X164" s="35">
        <v>0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5">
        <v>0</v>
      </c>
    </row>
    <row r="165" spans="1:30" outlineLevel="1" x14ac:dyDescent="0.3">
      <c r="A165" s="34" t="s">
        <v>290</v>
      </c>
      <c r="B165" s="71" t="s">
        <v>290</v>
      </c>
      <c r="C165" s="71" t="s">
        <v>15</v>
      </c>
      <c r="D165" s="72">
        <v>5121120</v>
      </c>
      <c r="E165" s="72" t="s">
        <v>291</v>
      </c>
      <c r="F165" s="79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80">
        <v>0</v>
      </c>
      <c r="R165" s="35">
        <f>SUM(S165:AD165)</f>
        <v>0</v>
      </c>
      <c r="S165" s="35">
        <v>0</v>
      </c>
      <c r="T165" s="35">
        <v>0</v>
      </c>
      <c r="U165" s="35">
        <v>0</v>
      </c>
      <c r="V165" s="35">
        <v>0</v>
      </c>
      <c r="W165" s="51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</row>
    <row r="166" spans="1:30" outlineLevel="1" x14ac:dyDescent="0.3">
      <c r="A166" s="34" t="s">
        <v>292</v>
      </c>
      <c r="B166" s="71" t="s">
        <v>292</v>
      </c>
      <c r="C166" s="71" t="s">
        <v>27</v>
      </c>
      <c r="D166" s="72">
        <v>5121140</v>
      </c>
      <c r="E166" s="72" t="s">
        <v>293</v>
      </c>
      <c r="F166" s="79">
        <v>0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  <c r="Q166" s="80">
        <v>0</v>
      </c>
      <c r="R166" s="35">
        <f>SUM(S166:AD166)</f>
        <v>0</v>
      </c>
      <c r="S166" s="35">
        <v>0</v>
      </c>
      <c r="T166" s="35">
        <v>0</v>
      </c>
      <c r="U166" s="35">
        <v>0</v>
      </c>
      <c r="V166" s="35">
        <v>0</v>
      </c>
      <c r="W166" s="51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0</v>
      </c>
    </row>
    <row r="167" spans="1:30" s="97" customFormat="1" outlineLevel="1" x14ac:dyDescent="0.3">
      <c r="A167" s="34" t="s">
        <v>294</v>
      </c>
      <c r="B167" s="75" t="s">
        <v>295</v>
      </c>
      <c r="C167" s="75" t="s">
        <v>15</v>
      </c>
      <c r="D167" s="93">
        <v>5121150</v>
      </c>
      <c r="E167" s="93" t="s">
        <v>296</v>
      </c>
      <c r="F167" s="95">
        <v>720000</v>
      </c>
      <c r="G167" s="56">
        <v>0</v>
      </c>
      <c r="H167" s="56">
        <v>0</v>
      </c>
      <c r="I167" s="56">
        <v>0</v>
      </c>
      <c r="J167" s="56">
        <v>720000</v>
      </c>
      <c r="K167" s="56">
        <v>1828000</v>
      </c>
      <c r="L167" s="56">
        <v>964000</v>
      </c>
      <c r="M167" s="56">
        <v>100000</v>
      </c>
      <c r="N167" s="56">
        <v>100000</v>
      </c>
      <c r="O167" s="56">
        <v>100000</v>
      </c>
      <c r="P167" s="56">
        <v>100000</v>
      </c>
      <c r="Q167" s="96">
        <v>100000</v>
      </c>
      <c r="R167" s="94">
        <f>SUM(S167:AD167)</f>
        <v>4400000</v>
      </c>
      <c r="S167" s="94">
        <v>0</v>
      </c>
      <c r="T167" s="94">
        <v>0</v>
      </c>
      <c r="U167" s="94">
        <v>800000</v>
      </c>
      <c r="V167" s="94">
        <v>0</v>
      </c>
      <c r="W167" s="55">
        <v>0</v>
      </c>
      <c r="X167" s="94">
        <v>800000</v>
      </c>
      <c r="Y167" s="94">
        <v>800000</v>
      </c>
      <c r="Z167" s="94">
        <v>0</v>
      </c>
      <c r="AA167" s="94">
        <v>1200000</v>
      </c>
      <c r="AB167" s="94">
        <v>0</v>
      </c>
      <c r="AC167" s="94">
        <v>0</v>
      </c>
      <c r="AD167" s="94">
        <v>800000</v>
      </c>
    </row>
    <row r="168" spans="1:30" x14ac:dyDescent="0.3">
      <c r="A168" s="26" t="s">
        <v>297</v>
      </c>
      <c r="B168" s="73" t="s">
        <v>7</v>
      </c>
      <c r="C168" s="73"/>
      <c r="D168" s="74"/>
      <c r="E168" s="74"/>
      <c r="F168" s="41">
        <f t="shared" ref="F168:J168" si="52">SUM(F169:F172)</f>
        <v>0</v>
      </c>
      <c r="G168" s="49">
        <f t="shared" si="52"/>
        <v>0</v>
      </c>
      <c r="H168" s="49">
        <f t="shared" si="52"/>
        <v>0</v>
      </c>
      <c r="I168" s="49">
        <f t="shared" si="52"/>
        <v>0</v>
      </c>
      <c r="J168" s="49">
        <f t="shared" si="52"/>
        <v>0</v>
      </c>
      <c r="K168" s="49">
        <v>0</v>
      </c>
      <c r="L168" s="49">
        <v>0</v>
      </c>
      <c r="M168" s="49">
        <v>0</v>
      </c>
      <c r="N168" s="49">
        <v>0</v>
      </c>
      <c r="O168" s="49">
        <v>0</v>
      </c>
      <c r="P168" s="49">
        <v>0</v>
      </c>
      <c r="Q168" s="78">
        <v>0</v>
      </c>
      <c r="R168" s="29">
        <f t="shared" ref="R168:AD168" si="53">SUM(R169:R172)</f>
        <v>0</v>
      </c>
      <c r="S168" s="29">
        <f t="shared" si="53"/>
        <v>0</v>
      </c>
      <c r="T168" s="29">
        <f t="shared" si="53"/>
        <v>0</v>
      </c>
      <c r="U168" s="29">
        <f t="shared" si="53"/>
        <v>0</v>
      </c>
      <c r="V168" s="29">
        <f t="shared" si="53"/>
        <v>0</v>
      </c>
      <c r="W168" s="48">
        <f t="shared" si="53"/>
        <v>0</v>
      </c>
      <c r="X168" s="29">
        <f t="shared" si="53"/>
        <v>0</v>
      </c>
      <c r="Y168" s="29">
        <f t="shared" si="53"/>
        <v>0</v>
      </c>
      <c r="Z168" s="29">
        <f t="shared" si="53"/>
        <v>0</v>
      </c>
      <c r="AA168" s="29">
        <f t="shared" si="53"/>
        <v>0</v>
      </c>
      <c r="AB168" s="29">
        <f t="shared" si="53"/>
        <v>0</v>
      </c>
      <c r="AC168" s="29">
        <f t="shared" si="53"/>
        <v>0</v>
      </c>
      <c r="AD168" s="29">
        <f t="shared" si="53"/>
        <v>0</v>
      </c>
    </row>
    <row r="169" spans="1:30" outlineLevel="1" x14ac:dyDescent="0.3">
      <c r="A169" s="34" t="s">
        <v>298</v>
      </c>
      <c r="B169" s="71" t="s">
        <v>299</v>
      </c>
      <c r="C169" s="71" t="s">
        <v>27</v>
      </c>
      <c r="D169" s="72">
        <v>5122110</v>
      </c>
      <c r="E169" s="72" t="s">
        <v>300</v>
      </c>
      <c r="F169" s="79">
        <v>0</v>
      </c>
      <c r="G169" s="52">
        <v>0</v>
      </c>
      <c r="H169" s="52">
        <v>0</v>
      </c>
      <c r="I169" s="52">
        <v>0</v>
      </c>
      <c r="J169" s="52">
        <v>0</v>
      </c>
      <c r="K169" s="52">
        <v>0</v>
      </c>
      <c r="L169" s="52">
        <v>0</v>
      </c>
      <c r="M169" s="52">
        <v>0</v>
      </c>
      <c r="N169" s="52">
        <v>0</v>
      </c>
      <c r="O169" s="52">
        <v>0</v>
      </c>
      <c r="P169" s="52">
        <v>0</v>
      </c>
      <c r="Q169" s="80">
        <v>0</v>
      </c>
      <c r="R169" s="35">
        <f>SUM(S169:AD169)</f>
        <v>0</v>
      </c>
      <c r="S169" s="35">
        <v>0</v>
      </c>
      <c r="T169" s="35">
        <v>0</v>
      </c>
      <c r="U169" s="35">
        <v>0</v>
      </c>
      <c r="V169" s="35">
        <v>0</v>
      </c>
      <c r="W169" s="51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</row>
    <row r="170" spans="1:30" outlineLevel="1" x14ac:dyDescent="0.3">
      <c r="A170" s="34" t="s">
        <v>301</v>
      </c>
      <c r="B170" s="71" t="s">
        <v>302</v>
      </c>
      <c r="C170" s="71" t="s">
        <v>15</v>
      </c>
      <c r="D170" s="72">
        <v>5122120</v>
      </c>
      <c r="E170" s="72" t="s">
        <v>303</v>
      </c>
      <c r="F170" s="79">
        <v>0</v>
      </c>
      <c r="G170" s="52">
        <v>0</v>
      </c>
      <c r="H170" s="52">
        <v>0</v>
      </c>
      <c r="I170" s="52">
        <v>0</v>
      </c>
      <c r="J170" s="52">
        <v>0</v>
      </c>
      <c r="K170" s="52">
        <v>0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  <c r="Q170" s="80">
        <v>0</v>
      </c>
      <c r="R170" s="35">
        <f>SUM(S170:AD170)</f>
        <v>0</v>
      </c>
      <c r="S170" s="35">
        <v>0</v>
      </c>
      <c r="T170" s="35">
        <v>0</v>
      </c>
      <c r="U170" s="35">
        <v>0</v>
      </c>
      <c r="V170" s="35">
        <v>0</v>
      </c>
      <c r="W170" s="51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5">
        <v>0</v>
      </c>
    </row>
    <row r="171" spans="1:30" outlineLevel="1" x14ac:dyDescent="0.3">
      <c r="A171" s="40" t="s">
        <v>304</v>
      </c>
      <c r="B171" s="71" t="s">
        <v>305</v>
      </c>
      <c r="C171" s="71" t="s">
        <v>15</v>
      </c>
      <c r="D171" s="72">
        <v>5122130</v>
      </c>
      <c r="E171" s="72" t="s">
        <v>306</v>
      </c>
      <c r="F171" s="79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80">
        <v>0</v>
      </c>
      <c r="R171" s="35">
        <f>SUM(S171:AD171)</f>
        <v>0</v>
      </c>
      <c r="S171" s="35">
        <v>0</v>
      </c>
      <c r="T171" s="35">
        <v>0</v>
      </c>
      <c r="U171" s="35">
        <v>0</v>
      </c>
      <c r="V171" s="35">
        <v>0</v>
      </c>
      <c r="W171" s="51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5">
        <v>0</v>
      </c>
    </row>
    <row r="172" spans="1:30" outlineLevel="1" x14ac:dyDescent="0.3">
      <c r="A172" s="34" t="s">
        <v>307</v>
      </c>
      <c r="B172" s="71" t="s">
        <v>308</v>
      </c>
      <c r="C172" s="71" t="s">
        <v>15</v>
      </c>
      <c r="D172" s="72">
        <v>5122140</v>
      </c>
      <c r="E172" s="72" t="s">
        <v>309</v>
      </c>
      <c r="F172" s="79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80">
        <v>0</v>
      </c>
      <c r="R172" s="35">
        <f>SUM(S172:AD172)</f>
        <v>0</v>
      </c>
      <c r="S172" s="35">
        <v>0</v>
      </c>
      <c r="T172" s="35">
        <v>0</v>
      </c>
      <c r="U172" s="35">
        <v>0</v>
      </c>
      <c r="V172" s="35">
        <v>0</v>
      </c>
      <c r="W172" s="51">
        <v>0</v>
      </c>
      <c r="X172" s="35">
        <v>0</v>
      </c>
      <c r="Y172" s="35">
        <v>0</v>
      </c>
      <c r="Z172" s="35">
        <v>0</v>
      </c>
      <c r="AA172" s="35">
        <v>0</v>
      </c>
      <c r="AB172" s="35">
        <v>0</v>
      </c>
      <c r="AC172" s="35">
        <v>0</v>
      </c>
      <c r="AD172" s="35">
        <v>0</v>
      </c>
    </row>
    <row r="173" spans="1:30" x14ac:dyDescent="0.3">
      <c r="A173" s="26" t="s">
        <v>310</v>
      </c>
      <c r="B173" s="73" t="s">
        <v>7</v>
      </c>
      <c r="C173" s="73"/>
      <c r="D173" s="74"/>
      <c r="E173" s="74"/>
      <c r="F173" s="41">
        <f t="shared" ref="F173:J173" si="54">SUM(F174:F176)</f>
        <v>0</v>
      </c>
      <c r="G173" s="49">
        <f t="shared" si="54"/>
        <v>0</v>
      </c>
      <c r="H173" s="49">
        <f t="shared" si="54"/>
        <v>0</v>
      </c>
      <c r="I173" s="49">
        <f t="shared" si="54"/>
        <v>0</v>
      </c>
      <c r="J173" s="49">
        <f t="shared" si="54"/>
        <v>0</v>
      </c>
      <c r="K173" s="49">
        <v>0</v>
      </c>
      <c r="L173" s="49">
        <v>0</v>
      </c>
      <c r="M173" s="49">
        <v>0</v>
      </c>
      <c r="N173" s="49">
        <v>0</v>
      </c>
      <c r="O173" s="49">
        <v>0</v>
      </c>
      <c r="P173" s="49">
        <v>0</v>
      </c>
      <c r="Q173" s="78">
        <v>0</v>
      </c>
      <c r="R173" s="29">
        <f t="shared" ref="R173:AD173" si="55">SUM(R174:R176)</f>
        <v>0</v>
      </c>
      <c r="S173" s="29">
        <f t="shared" si="55"/>
        <v>0</v>
      </c>
      <c r="T173" s="29">
        <f t="shared" si="55"/>
        <v>0</v>
      </c>
      <c r="U173" s="29">
        <f t="shared" si="55"/>
        <v>0</v>
      </c>
      <c r="V173" s="29">
        <f t="shared" si="55"/>
        <v>0</v>
      </c>
      <c r="W173" s="48">
        <f t="shared" si="55"/>
        <v>0</v>
      </c>
      <c r="X173" s="29">
        <f t="shared" si="55"/>
        <v>0</v>
      </c>
      <c r="Y173" s="29">
        <f t="shared" si="55"/>
        <v>0</v>
      </c>
      <c r="Z173" s="29">
        <f t="shared" si="55"/>
        <v>0</v>
      </c>
      <c r="AA173" s="29">
        <f t="shared" si="55"/>
        <v>0</v>
      </c>
      <c r="AB173" s="29">
        <f t="shared" si="55"/>
        <v>0</v>
      </c>
      <c r="AC173" s="29">
        <f t="shared" si="55"/>
        <v>0</v>
      </c>
      <c r="AD173" s="29">
        <f t="shared" si="55"/>
        <v>0</v>
      </c>
    </row>
    <row r="174" spans="1:30" outlineLevel="1" x14ac:dyDescent="0.3">
      <c r="A174" s="34" t="s">
        <v>311</v>
      </c>
      <c r="B174" s="71" t="s">
        <v>312</v>
      </c>
      <c r="C174" s="71" t="s">
        <v>15</v>
      </c>
      <c r="D174" s="72">
        <v>5123110</v>
      </c>
      <c r="E174" s="72" t="s">
        <v>313</v>
      </c>
      <c r="F174" s="79">
        <v>0</v>
      </c>
      <c r="G174" s="52">
        <v>0</v>
      </c>
      <c r="H174" s="52">
        <v>0</v>
      </c>
      <c r="I174" s="52">
        <v>0</v>
      </c>
      <c r="J174" s="52">
        <v>0</v>
      </c>
      <c r="K174" s="52">
        <v>0</v>
      </c>
      <c r="L174" s="52">
        <v>0</v>
      </c>
      <c r="M174" s="52">
        <v>0</v>
      </c>
      <c r="N174" s="52">
        <v>0</v>
      </c>
      <c r="O174" s="52">
        <v>0</v>
      </c>
      <c r="P174" s="52">
        <v>0</v>
      </c>
      <c r="Q174" s="80">
        <v>0</v>
      </c>
      <c r="R174" s="35">
        <f t="shared" ref="R174:R176" si="56">SUM(S174:AD174)</f>
        <v>0</v>
      </c>
      <c r="S174" s="35">
        <f>SUM(T174:AD174)</f>
        <v>0</v>
      </c>
      <c r="T174" s="35">
        <v>0</v>
      </c>
      <c r="U174" s="35">
        <v>0</v>
      </c>
      <c r="V174" s="35">
        <v>0</v>
      </c>
      <c r="W174" s="51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5">
        <v>0</v>
      </c>
    </row>
    <row r="175" spans="1:30" outlineLevel="1" x14ac:dyDescent="0.3">
      <c r="A175" s="34" t="s">
        <v>314</v>
      </c>
      <c r="B175" s="71" t="s">
        <v>315</v>
      </c>
      <c r="C175" s="71" t="s">
        <v>15</v>
      </c>
      <c r="D175" s="72">
        <v>5123120</v>
      </c>
      <c r="E175" s="72" t="s">
        <v>316</v>
      </c>
      <c r="F175" s="79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  <c r="Q175" s="80">
        <v>0</v>
      </c>
      <c r="R175" s="35">
        <f t="shared" si="56"/>
        <v>0</v>
      </c>
      <c r="S175" s="35">
        <f>SUM(T175:AD175)</f>
        <v>0</v>
      </c>
      <c r="T175" s="35">
        <v>0</v>
      </c>
      <c r="U175" s="35">
        <v>0</v>
      </c>
      <c r="V175" s="35">
        <v>0</v>
      </c>
      <c r="W175" s="51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0</v>
      </c>
      <c r="AC175" s="35">
        <v>0</v>
      </c>
      <c r="AD175" s="35">
        <v>0</v>
      </c>
    </row>
    <row r="176" spans="1:30" outlineLevel="1" x14ac:dyDescent="0.3">
      <c r="A176" s="57" t="s">
        <v>317</v>
      </c>
      <c r="B176" s="83" t="s">
        <v>318</v>
      </c>
      <c r="C176" s="83" t="s">
        <v>15</v>
      </c>
      <c r="D176" s="84">
        <v>5123130</v>
      </c>
      <c r="E176" s="84" t="s">
        <v>319</v>
      </c>
      <c r="F176" s="85">
        <v>0</v>
      </c>
      <c r="G176" s="63">
        <v>0</v>
      </c>
      <c r="H176" s="63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86">
        <v>0</v>
      </c>
      <c r="R176" s="60">
        <f t="shared" si="56"/>
        <v>0</v>
      </c>
      <c r="S176" s="60">
        <f>SUM(T176:AD176)</f>
        <v>0</v>
      </c>
      <c r="T176" s="60">
        <v>0</v>
      </c>
      <c r="U176" s="60">
        <v>0</v>
      </c>
      <c r="V176" s="60">
        <v>0</v>
      </c>
      <c r="W176" s="62">
        <v>0</v>
      </c>
      <c r="X176" s="60">
        <v>0</v>
      </c>
      <c r="Y176" s="60">
        <v>0</v>
      </c>
      <c r="Z176" s="60">
        <v>0</v>
      </c>
      <c r="AA176" s="60">
        <v>0</v>
      </c>
      <c r="AB176" s="60">
        <v>0</v>
      </c>
      <c r="AC176" s="60">
        <v>0</v>
      </c>
      <c r="AD176" s="60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8044-83C5-410C-BE20-7EBEC94A1F01}">
  <sheetPr>
    <tabColor theme="9"/>
  </sheetPr>
  <dimension ref="A1:R176"/>
  <sheetViews>
    <sheetView zoomScale="70" zoomScaleNormal="70" workbookViewId="0">
      <pane xSplit="5" ySplit="4" topLeftCell="F11" activePane="bottomRight" state="frozen"/>
      <selection activeCell="BF17" sqref="BF17"/>
      <selection pane="topRight" activeCell="BF17" sqref="BF17"/>
      <selection pane="bottomLeft" activeCell="BF17" sqref="BF17"/>
      <selection pane="bottomRight" activeCell="AB8" sqref="AB8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875" style="66" customWidth="1" outlineLevel="1"/>
    <col min="4" max="4" width="9.25" style="67" customWidth="1" outlineLevel="1"/>
    <col min="5" max="5" width="13.25" style="67" customWidth="1" outlineLevel="1"/>
    <col min="6" max="6" width="14.25" style="66" bestFit="1" customWidth="1"/>
    <col min="7" max="18" width="14.25" style="66" customWidth="1" outlineLevel="1"/>
    <col min="19" max="16384" width="9" style="66"/>
  </cols>
  <sheetData>
    <row r="1" spans="1:18" x14ac:dyDescent="0.3">
      <c r="A1" s="89" t="s">
        <v>327</v>
      </c>
    </row>
    <row r="2" spans="1:18" x14ac:dyDescent="0.3">
      <c r="A2" s="66" t="s">
        <v>0</v>
      </c>
    </row>
    <row r="3" spans="1:18" x14ac:dyDescent="0.3">
      <c r="A3" s="3" t="s">
        <v>328</v>
      </c>
    </row>
    <row r="4" spans="1:18" x14ac:dyDescent="0.3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 t="s">
        <v>329</v>
      </c>
      <c r="Q4" s="12">
        <v>2026.11</v>
      </c>
      <c r="R4" s="12">
        <v>2026.12</v>
      </c>
    </row>
    <row r="5" spans="1:18" x14ac:dyDescent="0.3">
      <c r="A5" s="13" t="s">
        <v>6</v>
      </c>
      <c r="B5" s="69" t="s">
        <v>7</v>
      </c>
      <c r="C5" s="69"/>
      <c r="D5" s="70"/>
      <c r="E5" s="70"/>
      <c r="F5" s="43"/>
      <c r="G5" s="43"/>
      <c r="H5" s="43"/>
      <c r="I5" s="43"/>
      <c r="J5" s="45"/>
      <c r="K5" s="45"/>
      <c r="L5" s="45"/>
      <c r="M5" s="45"/>
      <c r="N5" s="45"/>
      <c r="O5" s="45"/>
      <c r="P5" s="45"/>
      <c r="Q5" s="45"/>
      <c r="R5" s="45"/>
    </row>
    <row r="6" spans="1:18" x14ac:dyDescent="0.3">
      <c r="A6" s="18" t="s">
        <v>8</v>
      </c>
      <c r="B6" s="71" t="s">
        <v>7</v>
      </c>
      <c r="C6" s="71"/>
      <c r="D6" s="72"/>
      <c r="E6" s="72"/>
      <c r="F6" s="35"/>
      <c r="G6" s="35"/>
      <c r="H6" s="35"/>
      <c r="I6" s="35"/>
      <c r="J6" s="53"/>
      <c r="K6" s="53"/>
      <c r="L6" s="53"/>
      <c r="M6" s="53"/>
      <c r="N6" s="53"/>
      <c r="O6" s="53"/>
      <c r="P6" s="53"/>
      <c r="Q6" s="53"/>
      <c r="R6" s="53"/>
    </row>
    <row r="7" spans="1:18" x14ac:dyDescent="0.3">
      <c r="A7" s="13" t="s">
        <v>9</v>
      </c>
      <c r="B7" s="69" t="s">
        <v>7</v>
      </c>
      <c r="C7" s="69"/>
      <c r="D7" s="70"/>
      <c r="E7" s="70"/>
      <c r="F7" s="43"/>
      <c r="G7" s="43"/>
      <c r="H7" s="43"/>
      <c r="I7" s="43"/>
      <c r="J7" s="45"/>
      <c r="K7" s="45"/>
      <c r="L7" s="45"/>
      <c r="M7" s="45"/>
      <c r="N7" s="45"/>
      <c r="O7" s="45"/>
      <c r="P7" s="45"/>
      <c r="Q7" s="45"/>
      <c r="R7" s="45"/>
    </row>
    <row r="8" spans="1:18" x14ac:dyDescent="0.3">
      <c r="A8" s="18" t="s">
        <v>10</v>
      </c>
      <c r="B8" s="71" t="s">
        <v>7</v>
      </c>
      <c r="C8" s="71"/>
      <c r="D8" s="72"/>
      <c r="E8" s="72"/>
      <c r="F8" s="35"/>
      <c r="G8" s="35"/>
      <c r="H8" s="35"/>
      <c r="I8" s="35"/>
      <c r="J8" s="53"/>
      <c r="K8" s="53"/>
      <c r="L8" s="53"/>
      <c r="M8" s="53"/>
      <c r="N8" s="53"/>
      <c r="O8" s="53"/>
      <c r="P8" s="53"/>
      <c r="Q8" s="53"/>
      <c r="R8" s="53"/>
    </row>
    <row r="9" spans="1:18" x14ac:dyDescent="0.3">
      <c r="A9" s="13" t="s">
        <v>11</v>
      </c>
      <c r="B9" s="69" t="s">
        <v>7</v>
      </c>
      <c r="C9" s="69"/>
      <c r="D9" s="70"/>
      <c r="E9" s="70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3">
      <c r="A10" s="26" t="s">
        <v>12</v>
      </c>
      <c r="B10" s="73" t="s">
        <v>7</v>
      </c>
      <c r="C10" s="73"/>
      <c r="D10" s="74"/>
      <c r="E10" s="74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outlineLevel="1" x14ac:dyDescent="0.3">
      <c r="A11" s="34" t="s">
        <v>13</v>
      </c>
      <c r="B11" s="71" t="s">
        <v>14</v>
      </c>
      <c r="C11" s="71" t="s">
        <v>15</v>
      </c>
      <c r="D11" s="72">
        <v>5102110</v>
      </c>
      <c r="E11" s="72" t="s">
        <v>16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outlineLevel="1" x14ac:dyDescent="0.3">
      <c r="A12" s="34" t="s">
        <v>17</v>
      </c>
      <c r="B12" s="71" t="s">
        <v>18</v>
      </c>
      <c r="C12" s="71" t="s">
        <v>15</v>
      </c>
      <c r="D12" s="72">
        <v>5102120</v>
      </c>
      <c r="E12" s="72" t="s">
        <v>19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x14ac:dyDescent="0.3">
      <c r="A13" s="26" t="s">
        <v>20</v>
      </c>
      <c r="B13" s="73" t="s">
        <v>7</v>
      </c>
      <c r="C13" s="73"/>
      <c r="D13" s="74" t="s">
        <v>21</v>
      </c>
      <c r="E13" s="7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outlineLevel="1" x14ac:dyDescent="0.3">
      <c r="A14" s="40" t="s">
        <v>22</v>
      </c>
      <c r="B14" s="71" t="s">
        <v>14</v>
      </c>
      <c r="C14" s="71" t="s">
        <v>15</v>
      </c>
      <c r="D14" s="72">
        <v>5102210</v>
      </c>
      <c r="E14" s="72" t="s">
        <v>16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outlineLevel="1" x14ac:dyDescent="0.3">
      <c r="A15" s="34" t="s">
        <v>23</v>
      </c>
      <c r="B15" s="71" t="s">
        <v>18</v>
      </c>
      <c r="C15" s="71" t="s">
        <v>15</v>
      </c>
      <c r="D15" s="72">
        <v>5102220</v>
      </c>
      <c r="E15" s="72" t="s">
        <v>19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outlineLevel="1" x14ac:dyDescent="0.3">
      <c r="A16" s="34" t="s">
        <v>24</v>
      </c>
      <c r="B16" s="71" t="s">
        <v>14</v>
      </c>
      <c r="C16" s="71" t="s">
        <v>15</v>
      </c>
      <c r="D16" s="72">
        <v>5102230</v>
      </c>
      <c r="E16" s="72" t="s">
        <v>16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outlineLevel="1" x14ac:dyDescent="0.3">
      <c r="A17" s="34" t="s">
        <v>25</v>
      </c>
      <c r="B17" s="71" t="s">
        <v>26</v>
      </c>
      <c r="C17" s="71" t="s">
        <v>27</v>
      </c>
      <c r="D17" s="72">
        <v>5102240</v>
      </c>
      <c r="E17" s="72" t="s">
        <v>28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outlineLevel="1" x14ac:dyDescent="0.3">
      <c r="A18" s="34" t="s">
        <v>29</v>
      </c>
      <c r="B18" s="71" t="s">
        <v>14</v>
      </c>
      <c r="C18" s="71" t="s">
        <v>15</v>
      </c>
      <c r="D18" s="72">
        <v>5102250</v>
      </c>
      <c r="E18" s="72" t="s">
        <v>16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outlineLevel="1" x14ac:dyDescent="0.3">
      <c r="A19" s="34" t="s">
        <v>30</v>
      </c>
      <c r="B19" s="71" t="s">
        <v>26</v>
      </c>
      <c r="C19" s="71" t="s">
        <v>15</v>
      </c>
      <c r="D19" s="72">
        <v>5102260</v>
      </c>
      <c r="E19" s="72" t="s">
        <v>28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18" outlineLevel="1" x14ac:dyDescent="0.3">
      <c r="A20" s="34" t="s">
        <v>31</v>
      </c>
      <c r="B20" s="71" t="s">
        <v>14</v>
      </c>
      <c r="C20" s="71" t="s">
        <v>15</v>
      </c>
      <c r="D20" s="72">
        <v>5102280</v>
      </c>
      <c r="E20" s="72" t="s">
        <v>16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outlineLevel="1" x14ac:dyDescent="0.3">
      <c r="A21" s="34" t="s">
        <v>32</v>
      </c>
      <c r="B21" s="71" t="s">
        <v>26</v>
      </c>
      <c r="C21" s="71" t="s">
        <v>15</v>
      </c>
      <c r="D21" s="72">
        <v>5102290</v>
      </c>
      <c r="E21" s="72" t="s">
        <v>28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18" x14ac:dyDescent="0.3">
      <c r="A22" s="26" t="s">
        <v>33</v>
      </c>
      <c r="B22" s="73" t="s">
        <v>7</v>
      </c>
      <c r="C22" s="73"/>
      <c r="D22" s="74" t="s">
        <v>21</v>
      </c>
      <c r="E22" s="7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outlineLevel="1" x14ac:dyDescent="0.3">
      <c r="A23" s="34" t="s">
        <v>34</v>
      </c>
      <c r="B23" s="71" t="s">
        <v>18</v>
      </c>
      <c r="C23" s="71" t="s">
        <v>15</v>
      </c>
      <c r="D23" s="72">
        <v>5102410</v>
      </c>
      <c r="E23" s="72" t="s">
        <v>19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outlineLevel="1" x14ac:dyDescent="0.3">
      <c r="A24" s="34" t="s">
        <v>35</v>
      </c>
      <c r="B24" s="75" t="s">
        <v>7</v>
      </c>
      <c r="C24" s="75" t="s">
        <v>15</v>
      </c>
      <c r="D24" s="72">
        <v>5102420</v>
      </c>
      <c r="E24" s="72" t="s">
        <v>28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outlineLevel="1" x14ac:dyDescent="0.3">
      <c r="A25" s="34" t="s">
        <v>36</v>
      </c>
      <c r="B25" s="75"/>
      <c r="C25" s="75" t="s">
        <v>37</v>
      </c>
      <c r="D25" s="72" t="s">
        <v>38</v>
      </c>
      <c r="E25" s="72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18" x14ac:dyDescent="0.3">
      <c r="A26" s="13" t="s">
        <v>39</v>
      </c>
      <c r="B26" s="69" t="s">
        <v>7</v>
      </c>
      <c r="C26" s="69"/>
      <c r="D26" s="70"/>
      <c r="E26" s="70"/>
      <c r="F26" s="43">
        <f t="shared" ref="F26:R26" si="0">F27+F46+F52+F60+F68+F79+F88+F100+F107+F115+F118+F128+F130+F138+F140+F146+F149+F158+F163+F168+F173</f>
        <v>3921393451</v>
      </c>
      <c r="G26" s="43">
        <f t="shared" si="0"/>
        <v>339996698</v>
      </c>
      <c r="H26" s="43">
        <f t="shared" si="0"/>
        <v>405181523</v>
      </c>
      <c r="I26" s="43">
        <f t="shared" si="0"/>
        <v>294021523</v>
      </c>
      <c r="J26" s="43">
        <f t="shared" si="0"/>
        <v>315371523</v>
      </c>
      <c r="K26" s="43">
        <f t="shared" si="0"/>
        <v>273171523</v>
      </c>
      <c r="L26" s="43">
        <f t="shared" si="0"/>
        <v>279021523</v>
      </c>
      <c r="M26" s="43">
        <f t="shared" si="0"/>
        <v>365171523</v>
      </c>
      <c r="N26" s="43">
        <f t="shared" si="0"/>
        <v>273171523</v>
      </c>
      <c r="O26" s="43">
        <f t="shared" si="0"/>
        <v>530921523</v>
      </c>
      <c r="P26" s="43">
        <f t="shared" si="0"/>
        <v>293171523</v>
      </c>
      <c r="Q26" s="43">
        <f t="shared" si="0"/>
        <v>273171523</v>
      </c>
      <c r="R26" s="43">
        <f t="shared" si="0"/>
        <v>279021523</v>
      </c>
    </row>
    <row r="27" spans="1:18" x14ac:dyDescent="0.3">
      <c r="A27" s="26" t="s">
        <v>40</v>
      </c>
      <c r="B27" s="73" t="s">
        <v>7</v>
      </c>
      <c r="C27" s="73"/>
      <c r="D27" s="74"/>
      <c r="E27" s="74"/>
      <c r="F27" s="29">
        <f t="shared" ref="F27:R27" si="1">SUM(F28:F45)</f>
        <v>214588000</v>
      </c>
      <c r="G27" s="29">
        <f t="shared" si="1"/>
        <v>17124000</v>
      </c>
      <c r="H27" s="29">
        <f t="shared" si="1"/>
        <v>17124000</v>
      </c>
      <c r="I27" s="29">
        <f t="shared" si="1"/>
        <v>17174000</v>
      </c>
      <c r="J27" s="29">
        <f t="shared" si="1"/>
        <v>19124000</v>
      </c>
      <c r="K27" s="29">
        <f t="shared" si="1"/>
        <v>17124000</v>
      </c>
      <c r="L27" s="29">
        <f t="shared" si="1"/>
        <v>17174000</v>
      </c>
      <c r="M27" s="29">
        <f t="shared" si="1"/>
        <v>17124000</v>
      </c>
      <c r="N27" s="29">
        <f t="shared" si="1"/>
        <v>17124000</v>
      </c>
      <c r="O27" s="29">
        <f t="shared" si="1"/>
        <v>24074000</v>
      </c>
      <c r="P27" s="29">
        <f t="shared" si="1"/>
        <v>17124000</v>
      </c>
      <c r="Q27" s="29">
        <f t="shared" si="1"/>
        <v>17124000</v>
      </c>
      <c r="R27" s="29">
        <f t="shared" si="1"/>
        <v>17174000</v>
      </c>
    </row>
    <row r="28" spans="1:18" outlineLevel="1" x14ac:dyDescent="0.3">
      <c r="A28" s="34" t="s">
        <v>41</v>
      </c>
      <c r="B28" s="71" t="s">
        <v>42</v>
      </c>
      <c r="C28" s="71" t="s">
        <v>15</v>
      </c>
      <c r="D28" s="72">
        <v>5103260</v>
      </c>
      <c r="E28" s="72" t="s">
        <v>43</v>
      </c>
      <c r="F28" s="35">
        <f t="shared" ref="F28:F45" si="2">SUM(G28:R28)</f>
        <v>91200000</v>
      </c>
      <c r="G28" s="35">
        <v>7600000</v>
      </c>
      <c r="H28" s="35">
        <v>7600000</v>
      </c>
      <c r="I28" s="35">
        <v>7600000</v>
      </c>
      <c r="J28" s="35">
        <v>7600000</v>
      </c>
      <c r="K28" s="35">
        <v>7600000</v>
      </c>
      <c r="L28" s="35">
        <v>7600000</v>
      </c>
      <c r="M28" s="35">
        <v>7600000</v>
      </c>
      <c r="N28" s="35">
        <v>7600000</v>
      </c>
      <c r="O28" s="35">
        <v>7600000</v>
      </c>
      <c r="P28" s="35">
        <v>7600000</v>
      </c>
      <c r="Q28" s="35">
        <v>7600000</v>
      </c>
      <c r="R28" s="35">
        <v>7600000</v>
      </c>
    </row>
    <row r="29" spans="1:18" outlineLevel="1" x14ac:dyDescent="0.3">
      <c r="A29" s="34" t="s">
        <v>44</v>
      </c>
      <c r="B29" s="71" t="s">
        <v>45</v>
      </c>
      <c r="C29" s="71" t="s">
        <v>15</v>
      </c>
      <c r="D29" s="72">
        <v>5103250</v>
      </c>
      <c r="E29" s="72" t="s">
        <v>46</v>
      </c>
      <c r="F29" s="35">
        <f t="shared" si="2"/>
        <v>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 outlineLevel="1" x14ac:dyDescent="0.3">
      <c r="A30" s="34" t="s">
        <v>47</v>
      </c>
      <c r="B30" s="71" t="s">
        <v>48</v>
      </c>
      <c r="C30" s="71" t="s">
        <v>15</v>
      </c>
      <c r="D30" s="72">
        <v>5103240</v>
      </c>
      <c r="E30" s="72" t="s">
        <v>49</v>
      </c>
      <c r="F30" s="35">
        <f t="shared" si="2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 spans="1:18" outlineLevel="1" x14ac:dyDescent="0.3">
      <c r="A31" s="34" t="s">
        <v>50</v>
      </c>
      <c r="B31" s="71" t="s">
        <v>51</v>
      </c>
      <c r="C31" s="71" t="s">
        <v>15</v>
      </c>
      <c r="D31" s="72">
        <v>5103230</v>
      </c>
      <c r="E31" s="72" t="s">
        <v>52</v>
      </c>
      <c r="F31" s="35">
        <f t="shared" si="2"/>
        <v>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 outlineLevel="1" x14ac:dyDescent="0.3">
      <c r="A32" s="34" t="s">
        <v>53</v>
      </c>
      <c r="B32" s="71" t="s">
        <v>54</v>
      </c>
      <c r="C32" s="71" t="s">
        <v>15</v>
      </c>
      <c r="D32" s="72">
        <v>5103220</v>
      </c>
      <c r="E32" s="72" t="s">
        <v>55</v>
      </c>
      <c r="F32" s="35">
        <f t="shared" si="2"/>
        <v>48000000</v>
      </c>
      <c r="G32" s="35">
        <v>4000000</v>
      </c>
      <c r="H32" s="35">
        <v>4000000</v>
      </c>
      <c r="I32" s="35">
        <v>4000000</v>
      </c>
      <c r="J32" s="35">
        <v>4000000</v>
      </c>
      <c r="K32" s="35">
        <v>4000000</v>
      </c>
      <c r="L32" s="35">
        <v>4000000</v>
      </c>
      <c r="M32" s="35">
        <v>4000000</v>
      </c>
      <c r="N32" s="35">
        <v>4000000</v>
      </c>
      <c r="O32" s="35">
        <v>4000000</v>
      </c>
      <c r="P32" s="35">
        <v>4000000</v>
      </c>
      <c r="Q32" s="35">
        <v>4000000</v>
      </c>
      <c r="R32" s="35">
        <v>4000000</v>
      </c>
    </row>
    <row r="33" spans="1:18" outlineLevel="1" x14ac:dyDescent="0.3">
      <c r="A33" s="34" t="s">
        <v>56</v>
      </c>
      <c r="B33" s="71" t="s">
        <v>56</v>
      </c>
      <c r="C33" s="71" t="s">
        <v>15</v>
      </c>
      <c r="D33" s="72">
        <v>5103210</v>
      </c>
      <c r="E33" s="72" t="s">
        <v>57</v>
      </c>
      <c r="F33" s="35">
        <f t="shared" si="2"/>
        <v>800000</v>
      </c>
      <c r="G33" s="35">
        <v>50000</v>
      </c>
      <c r="H33" s="35">
        <v>50000</v>
      </c>
      <c r="I33" s="35">
        <v>100000</v>
      </c>
      <c r="J33" s="35">
        <v>50000</v>
      </c>
      <c r="K33" s="35">
        <v>50000</v>
      </c>
      <c r="L33" s="35">
        <v>100000</v>
      </c>
      <c r="M33" s="35">
        <v>50000</v>
      </c>
      <c r="N33" s="35">
        <v>50000</v>
      </c>
      <c r="O33" s="35">
        <v>100000</v>
      </c>
      <c r="P33" s="35">
        <v>50000</v>
      </c>
      <c r="Q33" s="35">
        <v>50000</v>
      </c>
      <c r="R33" s="35">
        <v>100000</v>
      </c>
    </row>
    <row r="34" spans="1:18" outlineLevel="1" x14ac:dyDescent="0.3">
      <c r="A34" s="34" t="s">
        <v>58</v>
      </c>
      <c r="B34" s="71" t="s">
        <v>59</v>
      </c>
      <c r="C34" s="71" t="s">
        <v>15</v>
      </c>
      <c r="D34" s="72">
        <v>5103190</v>
      </c>
      <c r="E34" s="72" t="s">
        <v>60</v>
      </c>
      <c r="F34" s="35">
        <f t="shared" si="2"/>
        <v>528000</v>
      </c>
      <c r="G34" s="35">
        <v>44000</v>
      </c>
      <c r="H34" s="35">
        <v>44000</v>
      </c>
      <c r="I34" s="35">
        <v>44000</v>
      </c>
      <c r="J34" s="35">
        <v>44000</v>
      </c>
      <c r="K34" s="35">
        <v>44000</v>
      </c>
      <c r="L34" s="35">
        <v>44000</v>
      </c>
      <c r="M34" s="35">
        <v>44000</v>
      </c>
      <c r="N34" s="35">
        <v>44000</v>
      </c>
      <c r="O34" s="35">
        <v>44000</v>
      </c>
      <c r="P34" s="35">
        <v>44000</v>
      </c>
      <c r="Q34" s="35">
        <v>44000</v>
      </c>
      <c r="R34" s="35">
        <v>44000</v>
      </c>
    </row>
    <row r="35" spans="1:18" outlineLevel="1" x14ac:dyDescent="0.3">
      <c r="A35" s="34" t="s">
        <v>61</v>
      </c>
      <c r="B35" s="71" t="s">
        <v>62</v>
      </c>
      <c r="C35" s="71" t="s">
        <v>15</v>
      </c>
      <c r="D35" s="72">
        <v>5103180</v>
      </c>
      <c r="E35" s="72" t="s">
        <v>63</v>
      </c>
      <c r="F35" s="35">
        <f t="shared" si="2"/>
        <v>3600000</v>
      </c>
      <c r="G35" s="35">
        <v>300000</v>
      </c>
      <c r="H35" s="35">
        <v>300000</v>
      </c>
      <c r="I35" s="35">
        <v>300000</v>
      </c>
      <c r="J35" s="35">
        <v>300000</v>
      </c>
      <c r="K35" s="35">
        <v>300000</v>
      </c>
      <c r="L35" s="35">
        <v>300000</v>
      </c>
      <c r="M35" s="35">
        <v>300000</v>
      </c>
      <c r="N35" s="35">
        <v>300000</v>
      </c>
      <c r="O35" s="35">
        <v>300000</v>
      </c>
      <c r="P35" s="35">
        <v>300000</v>
      </c>
      <c r="Q35" s="35">
        <v>300000</v>
      </c>
      <c r="R35" s="35">
        <v>300000</v>
      </c>
    </row>
    <row r="36" spans="1:18" outlineLevel="1" x14ac:dyDescent="0.3">
      <c r="A36" s="34" t="s">
        <v>64</v>
      </c>
      <c r="B36" s="71" t="s">
        <v>65</v>
      </c>
      <c r="C36" s="71" t="s">
        <v>15</v>
      </c>
      <c r="D36" s="72">
        <v>5103170</v>
      </c>
      <c r="E36" s="72" t="s">
        <v>66</v>
      </c>
      <c r="F36" s="35">
        <f t="shared" si="2"/>
        <v>10100000</v>
      </c>
      <c r="G36" s="35">
        <v>100000</v>
      </c>
      <c r="H36" s="35">
        <v>100000</v>
      </c>
      <c r="I36" s="35">
        <v>100000</v>
      </c>
      <c r="J36" s="35">
        <v>2100000</v>
      </c>
      <c r="K36" s="35">
        <v>100000</v>
      </c>
      <c r="L36" s="35">
        <v>100000</v>
      </c>
      <c r="M36" s="35">
        <v>100000</v>
      </c>
      <c r="N36" s="35">
        <v>100000</v>
      </c>
      <c r="O36" s="35">
        <v>7000000</v>
      </c>
      <c r="P36" s="35">
        <v>100000</v>
      </c>
      <c r="Q36" s="35">
        <v>100000</v>
      </c>
      <c r="R36" s="35">
        <v>100000</v>
      </c>
    </row>
    <row r="37" spans="1:18" outlineLevel="1" x14ac:dyDescent="0.3">
      <c r="A37" s="34" t="s">
        <v>67</v>
      </c>
      <c r="B37" s="71" t="s">
        <v>68</v>
      </c>
      <c r="C37" s="71" t="s">
        <v>15</v>
      </c>
      <c r="D37" s="72">
        <v>5103160</v>
      </c>
      <c r="E37" s="72" t="s">
        <v>69</v>
      </c>
      <c r="F37" s="35">
        <f t="shared" si="2"/>
        <v>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 outlineLevel="1" x14ac:dyDescent="0.3">
      <c r="A38" s="34" t="s">
        <v>70</v>
      </c>
      <c r="B38" s="71" t="s">
        <v>71</v>
      </c>
      <c r="C38" s="71" t="s">
        <v>15</v>
      </c>
      <c r="D38" s="72">
        <v>5103150</v>
      </c>
      <c r="E38" s="72" t="s">
        <v>72</v>
      </c>
      <c r="F38" s="35">
        <f t="shared" si="2"/>
        <v>0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 outlineLevel="1" x14ac:dyDescent="0.3">
      <c r="A39" s="34" t="s">
        <v>73</v>
      </c>
      <c r="B39" s="71" t="s">
        <v>74</v>
      </c>
      <c r="C39" s="71" t="s">
        <v>15</v>
      </c>
      <c r="D39" s="72">
        <v>5103140</v>
      </c>
      <c r="E39" s="72" t="s">
        <v>75</v>
      </c>
      <c r="F39" s="35">
        <f t="shared" si="2"/>
        <v>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1:18" outlineLevel="1" x14ac:dyDescent="0.3">
      <c r="A40" s="34" t="s">
        <v>76</v>
      </c>
      <c r="B40" s="71" t="s">
        <v>7</v>
      </c>
      <c r="C40" s="71" t="s">
        <v>15</v>
      </c>
      <c r="D40" s="72">
        <v>5103130</v>
      </c>
      <c r="E40" s="72" t="s">
        <v>77</v>
      </c>
      <c r="F40" s="35">
        <f t="shared" si="2"/>
        <v>0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 outlineLevel="1" x14ac:dyDescent="0.3">
      <c r="A41" s="34" t="s">
        <v>78</v>
      </c>
      <c r="B41" s="71" t="s">
        <v>79</v>
      </c>
      <c r="C41" s="71" t="s">
        <v>15</v>
      </c>
      <c r="D41" s="72">
        <v>5103120</v>
      </c>
      <c r="E41" s="72" t="s">
        <v>80</v>
      </c>
      <c r="F41" s="35">
        <f t="shared" si="2"/>
        <v>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1:18" outlineLevel="1" x14ac:dyDescent="0.3">
      <c r="A42" s="34" t="s">
        <v>81</v>
      </c>
      <c r="B42" s="71" t="s">
        <v>82</v>
      </c>
      <c r="C42" s="71" t="s">
        <v>15</v>
      </c>
      <c r="D42" s="72">
        <v>5103110</v>
      </c>
      <c r="E42" s="72" t="s">
        <v>83</v>
      </c>
      <c r="F42" s="35">
        <f t="shared" si="2"/>
        <v>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18" outlineLevel="1" x14ac:dyDescent="0.3">
      <c r="A43" s="34" t="s">
        <v>84</v>
      </c>
      <c r="B43" s="71" t="s">
        <v>59</v>
      </c>
      <c r="C43" s="71" t="s">
        <v>15</v>
      </c>
      <c r="D43" s="72">
        <v>5103270</v>
      </c>
      <c r="E43" s="72" t="s">
        <v>60</v>
      </c>
      <c r="F43" s="35">
        <f t="shared" si="2"/>
        <v>44400000</v>
      </c>
      <c r="G43" s="35">
        <v>3700000</v>
      </c>
      <c r="H43" s="35">
        <v>3700000</v>
      </c>
      <c r="I43" s="35">
        <v>3700000</v>
      </c>
      <c r="J43" s="35">
        <v>3700000</v>
      </c>
      <c r="K43" s="35">
        <v>3700000</v>
      </c>
      <c r="L43" s="35">
        <v>3700000</v>
      </c>
      <c r="M43" s="35">
        <v>3700000</v>
      </c>
      <c r="N43" s="35">
        <v>3700000</v>
      </c>
      <c r="O43" s="35">
        <v>3700000</v>
      </c>
      <c r="P43" s="35">
        <v>3700000</v>
      </c>
      <c r="Q43" s="35">
        <v>3700000</v>
      </c>
      <c r="R43" s="35">
        <v>3700000</v>
      </c>
    </row>
    <row r="44" spans="1:18" outlineLevel="1" x14ac:dyDescent="0.3">
      <c r="A44" s="34" t="s">
        <v>85</v>
      </c>
      <c r="B44" s="71" t="s">
        <v>85</v>
      </c>
      <c r="C44" s="71" t="s">
        <v>27</v>
      </c>
      <c r="D44" s="72">
        <v>5103111</v>
      </c>
      <c r="E44" s="72" t="s">
        <v>86</v>
      </c>
      <c r="F44" s="35">
        <f t="shared" si="2"/>
        <v>1800000</v>
      </c>
      <c r="G44" s="35">
        <v>150000</v>
      </c>
      <c r="H44" s="35">
        <v>150000</v>
      </c>
      <c r="I44" s="35">
        <v>150000</v>
      </c>
      <c r="J44" s="35">
        <v>150000</v>
      </c>
      <c r="K44" s="35">
        <v>150000</v>
      </c>
      <c r="L44" s="35">
        <v>150000</v>
      </c>
      <c r="M44" s="35">
        <v>150000</v>
      </c>
      <c r="N44" s="35">
        <v>150000</v>
      </c>
      <c r="O44" s="35">
        <v>150000</v>
      </c>
      <c r="P44" s="35">
        <v>150000</v>
      </c>
      <c r="Q44" s="35">
        <v>150000</v>
      </c>
      <c r="R44" s="35">
        <v>150000</v>
      </c>
    </row>
    <row r="45" spans="1:18" outlineLevel="1" x14ac:dyDescent="0.3">
      <c r="A45" s="34" t="s">
        <v>87</v>
      </c>
      <c r="B45" s="71" t="s">
        <v>87</v>
      </c>
      <c r="C45" s="71" t="s">
        <v>15</v>
      </c>
      <c r="D45" s="72">
        <v>5103131</v>
      </c>
      <c r="E45" s="72" t="s">
        <v>88</v>
      </c>
      <c r="F45" s="35">
        <f t="shared" si="2"/>
        <v>14160000</v>
      </c>
      <c r="G45" s="35">
        <v>1180000</v>
      </c>
      <c r="H45" s="35">
        <v>1180000</v>
      </c>
      <c r="I45" s="35">
        <v>1180000</v>
      </c>
      <c r="J45" s="35">
        <v>1180000</v>
      </c>
      <c r="K45" s="35">
        <v>1180000</v>
      </c>
      <c r="L45" s="35">
        <v>1180000</v>
      </c>
      <c r="M45" s="35">
        <v>1180000</v>
      </c>
      <c r="N45" s="35">
        <v>1180000</v>
      </c>
      <c r="O45" s="35">
        <v>1180000</v>
      </c>
      <c r="P45" s="35">
        <v>1180000</v>
      </c>
      <c r="Q45" s="35">
        <v>1180000</v>
      </c>
      <c r="R45" s="35">
        <v>1180000</v>
      </c>
    </row>
    <row r="46" spans="1:18" x14ac:dyDescent="0.3">
      <c r="A46" s="26" t="s">
        <v>89</v>
      </c>
      <c r="B46" s="73" t="s">
        <v>7</v>
      </c>
      <c r="C46" s="73"/>
      <c r="D46" s="74"/>
      <c r="E46" s="74"/>
      <c r="F46" s="29">
        <f t="shared" ref="F46:R46" si="3">SUM(F47:F51)</f>
        <v>1440000</v>
      </c>
      <c r="G46" s="29">
        <f t="shared" si="3"/>
        <v>120000</v>
      </c>
      <c r="H46" s="29">
        <f t="shared" si="3"/>
        <v>120000</v>
      </c>
      <c r="I46" s="29">
        <f t="shared" si="3"/>
        <v>120000</v>
      </c>
      <c r="J46" s="29">
        <f t="shared" si="3"/>
        <v>120000</v>
      </c>
      <c r="K46" s="29">
        <f t="shared" si="3"/>
        <v>120000</v>
      </c>
      <c r="L46" s="29">
        <f t="shared" si="3"/>
        <v>120000</v>
      </c>
      <c r="M46" s="29">
        <f t="shared" si="3"/>
        <v>120000</v>
      </c>
      <c r="N46" s="29">
        <f t="shared" si="3"/>
        <v>120000</v>
      </c>
      <c r="O46" s="29">
        <f t="shared" si="3"/>
        <v>120000</v>
      </c>
      <c r="P46" s="29">
        <f t="shared" si="3"/>
        <v>120000</v>
      </c>
      <c r="Q46" s="29">
        <f t="shared" si="3"/>
        <v>120000</v>
      </c>
      <c r="R46" s="29">
        <f t="shared" si="3"/>
        <v>120000</v>
      </c>
    </row>
    <row r="47" spans="1:18" outlineLevel="1" x14ac:dyDescent="0.3">
      <c r="A47" s="34" t="s">
        <v>90</v>
      </c>
      <c r="B47" s="71" t="s">
        <v>91</v>
      </c>
      <c r="C47" s="71" t="s">
        <v>15</v>
      </c>
      <c r="D47" s="72">
        <v>5104110</v>
      </c>
      <c r="E47" s="72" t="s">
        <v>92</v>
      </c>
      <c r="F47" s="35">
        <f>SUM(G47:R47)</f>
        <v>0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1:18" outlineLevel="1" x14ac:dyDescent="0.3">
      <c r="A48" s="34" t="s">
        <v>93</v>
      </c>
      <c r="B48" s="71" t="s">
        <v>94</v>
      </c>
      <c r="C48" s="71" t="s">
        <v>15</v>
      </c>
      <c r="D48" s="72">
        <v>5104120</v>
      </c>
      <c r="E48" s="72" t="s">
        <v>95</v>
      </c>
      <c r="F48" s="35">
        <f>SUM(G48:R48)</f>
        <v>1200000</v>
      </c>
      <c r="G48" s="35">
        <v>100000</v>
      </c>
      <c r="H48" s="35">
        <v>100000</v>
      </c>
      <c r="I48" s="35">
        <v>100000</v>
      </c>
      <c r="J48" s="35">
        <v>100000</v>
      </c>
      <c r="K48" s="35">
        <v>100000</v>
      </c>
      <c r="L48" s="35">
        <v>100000</v>
      </c>
      <c r="M48" s="35">
        <v>100000</v>
      </c>
      <c r="N48" s="35">
        <v>100000</v>
      </c>
      <c r="O48" s="35">
        <v>100000</v>
      </c>
      <c r="P48" s="35">
        <v>100000</v>
      </c>
      <c r="Q48" s="35">
        <v>100000</v>
      </c>
      <c r="R48" s="35">
        <v>100000</v>
      </c>
    </row>
    <row r="49" spans="1:18" outlineLevel="1" x14ac:dyDescent="0.3">
      <c r="A49" s="34" t="s">
        <v>96</v>
      </c>
      <c r="B49" s="71" t="s">
        <v>97</v>
      </c>
      <c r="C49" s="71" t="s">
        <v>15</v>
      </c>
      <c r="D49" s="72">
        <v>5104130</v>
      </c>
      <c r="E49" s="72" t="s">
        <v>98</v>
      </c>
      <c r="F49" s="35">
        <f>SUM(G49:R49)</f>
        <v>240000</v>
      </c>
      <c r="G49" s="35">
        <v>20000</v>
      </c>
      <c r="H49" s="35">
        <v>20000</v>
      </c>
      <c r="I49" s="35">
        <v>20000</v>
      </c>
      <c r="J49" s="35">
        <v>20000</v>
      </c>
      <c r="K49" s="35">
        <v>20000</v>
      </c>
      <c r="L49" s="35">
        <v>20000</v>
      </c>
      <c r="M49" s="35">
        <v>20000</v>
      </c>
      <c r="N49" s="35">
        <v>20000</v>
      </c>
      <c r="O49" s="35">
        <v>20000</v>
      </c>
      <c r="P49" s="35">
        <v>20000</v>
      </c>
      <c r="Q49" s="35">
        <v>20000</v>
      </c>
      <c r="R49" s="35">
        <v>20000</v>
      </c>
    </row>
    <row r="50" spans="1:18" outlineLevel="1" x14ac:dyDescent="0.3">
      <c r="A50" s="34" t="s">
        <v>99</v>
      </c>
      <c r="B50" s="71" t="s">
        <v>100</v>
      </c>
      <c r="C50" s="71" t="s">
        <v>15</v>
      </c>
      <c r="D50" s="72">
        <v>5104140</v>
      </c>
      <c r="E50" s="72" t="s">
        <v>101</v>
      </c>
      <c r="F50" s="35">
        <f>SUM(G50:R50)</f>
        <v>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 outlineLevel="1" x14ac:dyDescent="0.3">
      <c r="A51" s="34" t="s">
        <v>102</v>
      </c>
      <c r="B51" s="71" t="s">
        <v>102</v>
      </c>
      <c r="C51" s="71" t="s">
        <v>15</v>
      </c>
      <c r="D51" s="72">
        <v>5104150</v>
      </c>
      <c r="E51" s="72" t="s">
        <v>103</v>
      </c>
      <c r="F51" s="35">
        <f>SUM(G51:R51)</f>
        <v>0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 spans="1:18" x14ac:dyDescent="0.3">
      <c r="A52" s="26" t="s">
        <v>104</v>
      </c>
      <c r="B52" s="73" t="s">
        <v>7</v>
      </c>
      <c r="C52" s="73"/>
      <c r="D52" s="74"/>
      <c r="E52" s="74"/>
      <c r="F52" s="29">
        <f t="shared" ref="F52:R52" si="4">SUM(F53:F59)</f>
        <v>5040000</v>
      </c>
      <c r="G52" s="29">
        <f t="shared" si="4"/>
        <v>420000</v>
      </c>
      <c r="H52" s="29">
        <f t="shared" si="4"/>
        <v>420000</v>
      </c>
      <c r="I52" s="29">
        <f t="shared" si="4"/>
        <v>420000</v>
      </c>
      <c r="J52" s="29">
        <f t="shared" si="4"/>
        <v>420000</v>
      </c>
      <c r="K52" s="29">
        <f t="shared" si="4"/>
        <v>420000</v>
      </c>
      <c r="L52" s="29">
        <f t="shared" si="4"/>
        <v>420000</v>
      </c>
      <c r="M52" s="29">
        <f t="shared" si="4"/>
        <v>420000</v>
      </c>
      <c r="N52" s="29">
        <f t="shared" si="4"/>
        <v>420000</v>
      </c>
      <c r="O52" s="29">
        <f t="shared" si="4"/>
        <v>420000</v>
      </c>
      <c r="P52" s="29">
        <f t="shared" si="4"/>
        <v>420000</v>
      </c>
      <c r="Q52" s="29">
        <f t="shared" si="4"/>
        <v>420000</v>
      </c>
      <c r="R52" s="29">
        <f t="shared" si="4"/>
        <v>420000</v>
      </c>
    </row>
    <row r="53" spans="1:18" outlineLevel="1" x14ac:dyDescent="0.3">
      <c r="A53" s="34" t="s">
        <v>105</v>
      </c>
      <c r="B53" s="71" t="s">
        <v>106</v>
      </c>
      <c r="C53" s="71" t="s">
        <v>15</v>
      </c>
      <c r="D53" s="72">
        <v>5105160</v>
      </c>
      <c r="E53" s="72" t="s">
        <v>107</v>
      </c>
      <c r="F53" s="35">
        <f t="shared" ref="F53:F59" si="5">SUM(G53:R53)</f>
        <v>0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 spans="1:18" outlineLevel="1" x14ac:dyDescent="0.3">
      <c r="A54" s="34" t="s">
        <v>108</v>
      </c>
      <c r="B54" s="71" t="s">
        <v>106</v>
      </c>
      <c r="C54" s="71" t="s">
        <v>15</v>
      </c>
      <c r="D54" s="72">
        <v>5105150</v>
      </c>
      <c r="E54" s="72" t="s">
        <v>107</v>
      </c>
      <c r="F54" s="35">
        <f t="shared" si="5"/>
        <v>2400000</v>
      </c>
      <c r="G54" s="35">
        <v>200000</v>
      </c>
      <c r="H54" s="35">
        <v>200000</v>
      </c>
      <c r="I54" s="35">
        <v>200000</v>
      </c>
      <c r="J54" s="35">
        <v>200000</v>
      </c>
      <c r="K54" s="35">
        <v>200000</v>
      </c>
      <c r="L54" s="35">
        <v>200000</v>
      </c>
      <c r="M54" s="35">
        <v>200000</v>
      </c>
      <c r="N54" s="35">
        <v>200000</v>
      </c>
      <c r="O54" s="35">
        <v>200000</v>
      </c>
      <c r="P54" s="35">
        <v>200000</v>
      </c>
      <c r="Q54" s="35">
        <v>200000</v>
      </c>
      <c r="R54" s="35">
        <v>200000</v>
      </c>
    </row>
    <row r="55" spans="1:18" outlineLevel="1" x14ac:dyDescent="0.3">
      <c r="A55" s="34" t="s">
        <v>109</v>
      </c>
      <c r="B55" s="71" t="s">
        <v>110</v>
      </c>
      <c r="C55" s="71" t="s">
        <v>15</v>
      </c>
      <c r="D55" s="72">
        <v>5105140</v>
      </c>
      <c r="E55" s="72" t="s">
        <v>111</v>
      </c>
      <c r="F55" s="35">
        <f t="shared" si="5"/>
        <v>240000</v>
      </c>
      <c r="G55" s="35">
        <v>20000</v>
      </c>
      <c r="H55" s="35">
        <v>20000</v>
      </c>
      <c r="I55" s="35">
        <v>20000</v>
      </c>
      <c r="J55" s="35">
        <v>20000</v>
      </c>
      <c r="K55" s="35">
        <v>20000</v>
      </c>
      <c r="L55" s="35">
        <v>20000</v>
      </c>
      <c r="M55" s="35">
        <v>20000</v>
      </c>
      <c r="N55" s="35">
        <v>20000</v>
      </c>
      <c r="O55" s="35">
        <v>20000</v>
      </c>
      <c r="P55" s="35">
        <v>20000</v>
      </c>
      <c r="Q55" s="35">
        <v>20000</v>
      </c>
      <c r="R55" s="35">
        <v>20000</v>
      </c>
    </row>
    <row r="56" spans="1:18" outlineLevel="1" x14ac:dyDescent="0.3">
      <c r="A56" s="34" t="s">
        <v>112</v>
      </c>
      <c r="B56" s="71" t="s">
        <v>106</v>
      </c>
      <c r="C56" s="71" t="s">
        <v>15</v>
      </c>
      <c r="D56" s="72">
        <v>5105130</v>
      </c>
      <c r="E56" s="72" t="s">
        <v>107</v>
      </c>
      <c r="F56" s="35">
        <f t="shared" si="5"/>
        <v>0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 outlineLevel="1" x14ac:dyDescent="0.3">
      <c r="A57" s="34" t="s">
        <v>113</v>
      </c>
      <c r="B57" s="71" t="s">
        <v>106</v>
      </c>
      <c r="C57" s="71" t="s">
        <v>15</v>
      </c>
      <c r="D57" s="72">
        <v>5105120</v>
      </c>
      <c r="E57" s="72" t="s">
        <v>107</v>
      </c>
      <c r="F57" s="35">
        <f t="shared" si="5"/>
        <v>0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</row>
    <row r="58" spans="1:18" outlineLevel="1" x14ac:dyDescent="0.3">
      <c r="A58" s="34" t="s">
        <v>114</v>
      </c>
      <c r="B58" s="71" t="s">
        <v>106</v>
      </c>
      <c r="C58" s="71" t="s">
        <v>15</v>
      </c>
      <c r="D58" s="72">
        <v>5105110</v>
      </c>
      <c r="E58" s="72" t="s">
        <v>107</v>
      </c>
      <c r="F58" s="35">
        <f t="shared" si="5"/>
        <v>0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</row>
    <row r="59" spans="1:18" outlineLevel="1" x14ac:dyDescent="0.3">
      <c r="A59" s="34" t="s">
        <v>115</v>
      </c>
      <c r="B59" s="71" t="s">
        <v>106</v>
      </c>
      <c r="C59" s="71" t="s">
        <v>15</v>
      </c>
      <c r="D59" s="72">
        <v>5105111</v>
      </c>
      <c r="E59" s="72" t="s">
        <v>107</v>
      </c>
      <c r="F59" s="35">
        <f t="shared" si="5"/>
        <v>2400000</v>
      </c>
      <c r="G59" s="35">
        <v>200000</v>
      </c>
      <c r="H59" s="35">
        <v>200000</v>
      </c>
      <c r="I59" s="35">
        <v>200000</v>
      </c>
      <c r="J59" s="35">
        <v>200000</v>
      </c>
      <c r="K59" s="35">
        <v>200000</v>
      </c>
      <c r="L59" s="35">
        <v>200000</v>
      </c>
      <c r="M59" s="35">
        <v>200000</v>
      </c>
      <c r="N59" s="35">
        <v>200000</v>
      </c>
      <c r="O59" s="35">
        <v>200000</v>
      </c>
      <c r="P59" s="35">
        <v>200000</v>
      </c>
      <c r="Q59" s="35">
        <v>200000</v>
      </c>
      <c r="R59" s="35">
        <v>200000</v>
      </c>
    </row>
    <row r="60" spans="1:18" x14ac:dyDescent="0.3">
      <c r="A60" s="26" t="s">
        <v>116</v>
      </c>
      <c r="B60" s="73" t="s">
        <v>7</v>
      </c>
      <c r="C60" s="73"/>
      <c r="D60" s="74"/>
      <c r="E60" s="74"/>
      <c r="F60" s="29">
        <f t="shared" ref="F60:R60" si="6">SUM(F61:F67)</f>
        <v>0</v>
      </c>
      <c r="G60" s="29">
        <f t="shared" si="6"/>
        <v>0</v>
      </c>
      <c r="H60" s="29">
        <f t="shared" si="6"/>
        <v>0</v>
      </c>
      <c r="I60" s="29">
        <f t="shared" si="6"/>
        <v>0</v>
      </c>
      <c r="J60" s="29">
        <f t="shared" si="6"/>
        <v>0</v>
      </c>
      <c r="K60" s="29">
        <f t="shared" si="6"/>
        <v>0</v>
      </c>
      <c r="L60" s="29">
        <f t="shared" si="6"/>
        <v>0</v>
      </c>
      <c r="M60" s="29">
        <f t="shared" si="6"/>
        <v>0</v>
      </c>
      <c r="N60" s="29">
        <f t="shared" si="6"/>
        <v>0</v>
      </c>
      <c r="O60" s="29">
        <f t="shared" si="6"/>
        <v>0</v>
      </c>
      <c r="P60" s="29">
        <f t="shared" si="6"/>
        <v>0</v>
      </c>
      <c r="Q60" s="29">
        <f t="shared" si="6"/>
        <v>0</v>
      </c>
      <c r="R60" s="29">
        <f t="shared" si="6"/>
        <v>0</v>
      </c>
    </row>
    <row r="61" spans="1:18" outlineLevel="1" x14ac:dyDescent="0.3">
      <c r="A61" s="34" t="s">
        <v>117</v>
      </c>
      <c r="B61" s="71" t="s">
        <v>118</v>
      </c>
      <c r="C61" s="71" t="s">
        <v>27</v>
      </c>
      <c r="D61" s="72">
        <v>5106110</v>
      </c>
      <c r="E61" s="72" t="s">
        <v>119</v>
      </c>
      <c r="F61" s="35">
        <f t="shared" ref="F61:F67" si="7">SUM(G61:R61)</f>
        <v>0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</row>
    <row r="62" spans="1:18" outlineLevel="1" x14ac:dyDescent="0.3">
      <c r="A62" s="34" t="s">
        <v>120</v>
      </c>
      <c r="B62" s="71" t="s">
        <v>118</v>
      </c>
      <c r="C62" s="71" t="s">
        <v>15</v>
      </c>
      <c r="D62" s="72">
        <v>5106120</v>
      </c>
      <c r="E62" s="72" t="s">
        <v>119</v>
      </c>
      <c r="F62" s="35">
        <f t="shared" si="7"/>
        <v>0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8" outlineLevel="1" x14ac:dyDescent="0.3">
      <c r="A63" s="34" t="s">
        <v>121</v>
      </c>
      <c r="B63" s="71" t="s">
        <v>118</v>
      </c>
      <c r="C63" s="71" t="s">
        <v>27</v>
      </c>
      <c r="D63" s="72">
        <v>5106130</v>
      </c>
      <c r="E63" s="72" t="s">
        <v>119</v>
      </c>
      <c r="F63" s="35">
        <f t="shared" si="7"/>
        <v>0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</row>
    <row r="64" spans="1:18" outlineLevel="1" x14ac:dyDescent="0.3">
      <c r="A64" s="34" t="s">
        <v>122</v>
      </c>
      <c r="B64" s="71" t="s">
        <v>7</v>
      </c>
      <c r="C64" s="71" t="s">
        <v>27</v>
      </c>
      <c r="D64" s="72">
        <v>5106140</v>
      </c>
      <c r="E64" s="72" t="s">
        <v>119</v>
      </c>
      <c r="F64" s="35">
        <f t="shared" si="7"/>
        <v>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1:18" outlineLevel="1" x14ac:dyDescent="0.3">
      <c r="A65" s="34" t="s">
        <v>123</v>
      </c>
      <c r="B65" s="71" t="s">
        <v>118</v>
      </c>
      <c r="C65" s="71" t="s">
        <v>15</v>
      </c>
      <c r="D65" s="72">
        <v>5106150</v>
      </c>
      <c r="E65" s="72" t="s">
        <v>119</v>
      </c>
      <c r="F65" s="35">
        <f t="shared" si="7"/>
        <v>0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1:18" outlineLevel="1" x14ac:dyDescent="0.3">
      <c r="A66" s="34" t="s">
        <v>124</v>
      </c>
      <c r="B66" s="71" t="s">
        <v>7</v>
      </c>
      <c r="C66" s="71" t="s">
        <v>27</v>
      </c>
      <c r="D66" s="72">
        <v>5106160</v>
      </c>
      <c r="E66" s="72" t="s">
        <v>119</v>
      </c>
      <c r="F66" s="35">
        <f t="shared" si="7"/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1:18" outlineLevel="1" x14ac:dyDescent="0.3">
      <c r="A67" s="34" t="s">
        <v>125</v>
      </c>
      <c r="B67" s="71" t="s">
        <v>118</v>
      </c>
      <c r="C67" s="71" t="s">
        <v>15</v>
      </c>
      <c r="D67" s="72">
        <v>5106141</v>
      </c>
      <c r="E67" s="72" t="s">
        <v>119</v>
      </c>
      <c r="F67" s="35">
        <f t="shared" si="7"/>
        <v>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</row>
    <row r="68" spans="1:18" x14ac:dyDescent="0.3">
      <c r="A68" s="26" t="s">
        <v>126</v>
      </c>
      <c r="B68" s="73" t="s">
        <v>7</v>
      </c>
      <c r="C68" s="73"/>
      <c r="D68" s="74"/>
      <c r="E68" s="74"/>
      <c r="F68" s="29">
        <f t="shared" ref="F68:R68" si="8">SUM(F69:F78)</f>
        <v>340700000</v>
      </c>
      <c r="G68" s="29">
        <f t="shared" si="8"/>
        <v>2900000</v>
      </c>
      <c r="H68" s="29">
        <f t="shared" si="8"/>
        <v>2800000</v>
      </c>
      <c r="I68" s="29">
        <f t="shared" si="8"/>
        <v>2500000</v>
      </c>
      <c r="J68" s="29">
        <f t="shared" si="8"/>
        <v>2500000</v>
      </c>
      <c r="K68" s="29">
        <f t="shared" si="8"/>
        <v>2500000</v>
      </c>
      <c r="L68" s="29">
        <f t="shared" si="8"/>
        <v>2500000</v>
      </c>
      <c r="M68" s="29">
        <f t="shared" si="8"/>
        <v>62500000</v>
      </c>
      <c r="N68" s="29">
        <f t="shared" si="8"/>
        <v>2500000</v>
      </c>
      <c r="O68" s="29">
        <f t="shared" si="8"/>
        <v>252500000</v>
      </c>
      <c r="P68" s="29">
        <f t="shared" si="8"/>
        <v>2500000</v>
      </c>
      <c r="Q68" s="29">
        <f t="shared" si="8"/>
        <v>2500000</v>
      </c>
      <c r="R68" s="29">
        <f t="shared" si="8"/>
        <v>2500000</v>
      </c>
    </row>
    <row r="69" spans="1:18" outlineLevel="1" x14ac:dyDescent="0.3">
      <c r="A69" s="34" t="s">
        <v>127</v>
      </c>
      <c r="B69" s="71" t="s">
        <v>128</v>
      </c>
      <c r="C69" s="71" t="s">
        <v>15</v>
      </c>
      <c r="D69" s="72">
        <v>5107110</v>
      </c>
      <c r="E69" s="72" t="s">
        <v>129</v>
      </c>
      <c r="F69" s="35">
        <f t="shared" ref="F69:F78" si="9">SUM(G69:R69)</f>
        <v>0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 outlineLevel="1" x14ac:dyDescent="0.3">
      <c r="A70" s="34" t="s">
        <v>130</v>
      </c>
      <c r="B70" s="71" t="s">
        <v>128</v>
      </c>
      <c r="C70" s="71" t="s">
        <v>15</v>
      </c>
      <c r="D70" s="72">
        <v>5107130</v>
      </c>
      <c r="E70" s="72" t="s">
        <v>129</v>
      </c>
      <c r="F70" s="35">
        <f t="shared" si="9"/>
        <v>30000000</v>
      </c>
      <c r="G70" s="35">
        <v>2500000</v>
      </c>
      <c r="H70" s="35">
        <v>2500000</v>
      </c>
      <c r="I70" s="35">
        <v>2500000</v>
      </c>
      <c r="J70" s="35">
        <v>2500000</v>
      </c>
      <c r="K70" s="35">
        <v>2500000</v>
      </c>
      <c r="L70" s="35">
        <v>2500000</v>
      </c>
      <c r="M70" s="35">
        <v>2500000</v>
      </c>
      <c r="N70" s="35">
        <v>2500000</v>
      </c>
      <c r="O70" s="35">
        <v>2500000</v>
      </c>
      <c r="P70" s="35">
        <v>2500000</v>
      </c>
      <c r="Q70" s="35">
        <v>2500000</v>
      </c>
      <c r="R70" s="35">
        <v>2500000</v>
      </c>
    </row>
    <row r="71" spans="1:18" outlineLevel="1" x14ac:dyDescent="0.3">
      <c r="A71" s="40" t="s">
        <v>131</v>
      </c>
      <c r="B71" s="71" t="s">
        <v>128</v>
      </c>
      <c r="C71" s="71" t="s">
        <v>15</v>
      </c>
      <c r="D71" s="72">
        <v>5107120</v>
      </c>
      <c r="E71" s="72" t="s">
        <v>129</v>
      </c>
      <c r="F71" s="35">
        <f t="shared" si="9"/>
        <v>0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  <row r="72" spans="1:18" outlineLevel="1" x14ac:dyDescent="0.3">
      <c r="A72" s="34" t="s">
        <v>132</v>
      </c>
      <c r="B72" s="71" t="s">
        <v>128</v>
      </c>
      <c r="C72" s="71" t="s">
        <v>15</v>
      </c>
      <c r="D72" s="72">
        <v>5107140</v>
      </c>
      <c r="E72" s="72" t="s">
        <v>129</v>
      </c>
      <c r="F72" s="35">
        <f t="shared" si="9"/>
        <v>310000000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60000000</v>
      </c>
      <c r="N72" s="35">
        <v>0</v>
      </c>
      <c r="O72" s="35">
        <v>250000000</v>
      </c>
      <c r="P72" s="35">
        <v>0</v>
      </c>
      <c r="Q72" s="35">
        <v>0</v>
      </c>
      <c r="R72" s="35">
        <v>0</v>
      </c>
    </row>
    <row r="73" spans="1:18" outlineLevel="1" x14ac:dyDescent="0.3">
      <c r="A73" s="34" t="s">
        <v>133</v>
      </c>
      <c r="B73" s="71" t="s">
        <v>128</v>
      </c>
      <c r="C73" s="71" t="s">
        <v>15</v>
      </c>
      <c r="D73" s="72">
        <v>5107150</v>
      </c>
      <c r="E73" s="72" t="s">
        <v>129</v>
      </c>
      <c r="F73" s="35">
        <f t="shared" si="9"/>
        <v>0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 outlineLevel="1" x14ac:dyDescent="0.3">
      <c r="A74" s="34" t="s">
        <v>134</v>
      </c>
      <c r="B74" s="71" t="s">
        <v>128</v>
      </c>
      <c r="C74" s="71" t="s">
        <v>15</v>
      </c>
      <c r="D74" s="72">
        <v>5107160</v>
      </c>
      <c r="E74" s="72" t="s">
        <v>129</v>
      </c>
      <c r="F74" s="35">
        <f t="shared" si="9"/>
        <v>400000</v>
      </c>
      <c r="G74" s="35">
        <v>400000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</row>
    <row r="75" spans="1:18" outlineLevel="1" x14ac:dyDescent="0.3">
      <c r="A75" s="34" t="s">
        <v>135</v>
      </c>
      <c r="B75" s="71" t="s">
        <v>128</v>
      </c>
      <c r="C75" s="71" t="s">
        <v>15</v>
      </c>
      <c r="D75" s="72">
        <v>5107170</v>
      </c>
      <c r="E75" s="72" t="s">
        <v>129</v>
      </c>
      <c r="F75" s="35">
        <f t="shared" si="9"/>
        <v>0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 outlineLevel="1" x14ac:dyDescent="0.3">
      <c r="A76" s="34" t="s">
        <v>136</v>
      </c>
      <c r="B76" s="71" t="s">
        <v>128</v>
      </c>
      <c r="C76" s="71" t="s">
        <v>15</v>
      </c>
      <c r="D76" s="72">
        <v>5107180</v>
      </c>
      <c r="E76" s="72" t="s">
        <v>129</v>
      </c>
      <c r="F76" s="35">
        <f t="shared" si="9"/>
        <v>0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 outlineLevel="1" x14ac:dyDescent="0.3">
      <c r="A77" s="64" t="s">
        <v>137</v>
      </c>
      <c r="B77" s="71" t="s">
        <v>138</v>
      </c>
      <c r="C77" s="71" t="s">
        <v>15</v>
      </c>
      <c r="D77" s="72">
        <v>5107190</v>
      </c>
      <c r="E77" s="72" t="s">
        <v>129</v>
      </c>
      <c r="F77" s="35">
        <f t="shared" si="9"/>
        <v>300000</v>
      </c>
      <c r="G77" s="35">
        <v>0</v>
      </c>
      <c r="H77" s="35">
        <v>300000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</row>
    <row r="78" spans="1:18" outlineLevel="1" x14ac:dyDescent="0.3">
      <c r="A78" s="34" t="s">
        <v>139</v>
      </c>
      <c r="B78" s="71" t="s">
        <v>140</v>
      </c>
      <c r="C78" s="71" t="s">
        <v>15</v>
      </c>
      <c r="D78" s="72">
        <v>5107210</v>
      </c>
      <c r="E78" s="72" t="s">
        <v>141</v>
      </c>
      <c r="F78" s="35">
        <f t="shared" si="9"/>
        <v>0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 x14ac:dyDescent="0.3">
      <c r="A79" s="26" t="s">
        <v>142</v>
      </c>
      <c r="B79" s="73" t="s">
        <v>7</v>
      </c>
      <c r="C79" s="73"/>
      <c r="D79" s="74"/>
      <c r="E79" s="74"/>
      <c r="F79" s="29">
        <f t="shared" ref="F79:R79" si="10">SUM(F80:F87)</f>
        <v>64080000</v>
      </c>
      <c r="G79" s="29">
        <f t="shared" si="10"/>
        <v>5340000</v>
      </c>
      <c r="H79" s="29">
        <f t="shared" si="10"/>
        <v>5340000</v>
      </c>
      <c r="I79" s="29">
        <f t="shared" si="10"/>
        <v>5340000</v>
      </c>
      <c r="J79" s="29">
        <f t="shared" si="10"/>
        <v>5340000</v>
      </c>
      <c r="K79" s="29">
        <f t="shared" si="10"/>
        <v>5340000</v>
      </c>
      <c r="L79" s="29">
        <f t="shared" si="10"/>
        <v>5340000</v>
      </c>
      <c r="M79" s="29">
        <f t="shared" si="10"/>
        <v>5340000</v>
      </c>
      <c r="N79" s="29">
        <f t="shared" si="10"/>
        <v>5340000</v>
      </c>
      <c r="O79" s="29">
        <f t="shared" si="10"/>
        <v>5340000</v>
      </c>
      <c r="P79" s="29">
        <f t="shared" si="10"/>
        <v>5340000</v>
      </c>
      <c r="Q79" s="29">
        <f t="shared" si="10"/>
        <v>5340000</v>
      </c>
      <c r="R79" s="29">
        <f t="shared" si="10"/>
        <v>5340000</v>
      </c>
    </row>
    <row r="80" spans="1:18" outlineLevel="1" x14ac:dyDescent="0.3">
      <c r="A80" s="34" t="s">
        <v>143</v>
      </c>
      <c r="B80" s="71" t="s">
        <v>144</v>
      </c>
      <c r="C80" s="71" t="s">
        <v>15</v>
      </c>
      <c r="D80" s="72">
        <v>5108110</v>
      </c>
      <c r="E80" s="72" t="s">
        <v>145</v>
      </c>
      <c r="F80" s="35">
        <f t="shared" ref="F80:F87" si="11">SUM(G80:R80)</f>
        <v>55680000</v>
      </c>
      <c r="G80" s="35">
        <v>4640000</v>
      </c>
      <c r="H80" s="35">
        <v>4640000</v>
      </c>
      <c r="I80" s="35">
        <v>4640000</v>
      </c>
      <c r="J80" s="35">
        <v>4640000</v>
      </c>
      <c r="K80" s="35">
        <v>4640000</v>
      </c>
      <c r="L80" s="35">
        <v>4640000</v>
      </c>
      <c r="M80" s="35">
        <v>4640000</v>
      </c>
      <c r="N80" s="35">
        <v>4640000</v>
      </c>
      <c r="O80" s="35">
        <v>4640000</v>
      </c>
      <c r="P80" s="35">
        <v>4640000</v>
      </c>
      <c r="Q80" s="35">
        <v>4640000</v>
      </c>
      <c r="R80" s="35">
        <v>4640000</v>
      </c>
    </row>
    <row r="81" spans="1:18" outlineLevel="1" x14ac:dyDescent="0.3">
      <c r="A81" s="34" t="s">
        <v>146</v>
      </c>
      <c r="B81" s="71" t="s">
        <v>144</v>
      </c>
      <c r="C81" s="71" t="s">
        <v>15</v>
      </c>
      <c r="D81" s="72">
        <v>5108120</v>
      </c>
      <c r="E81" s="72" t="s">
        <v>145</v>
      </c>
      <c r="F81" s="35">
        <f t="shared" si="11"/>
        <v>0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 outlineLevel="1" x14ac:dyDescent="0.3">
      <c r="A82" s="34" t="s">
        <v>147</v>
      </c>
      <c r="B82" s="71" t="s">
        <v>144</v>
      </c>
      <c r="C82" s="71" t="s">
        <v>15</v>
      </c>
      <c r="D82" s="72">
        <v>5108130</v>
      </c>
      <c r="E82" s="72" t="s">
        <v>145</v>
      </c>
      <c r="F82" s="35">
        <f t="shared" si="11"/>
        <v>0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 outlineLevel="1" x14ac:dyDescent="0.3">
      <c r="A83" s="34" t="s">
        <v>148</v>
      </c>
      <c r="B83" s="71" t="s">
        <v>144</v>
      </c>
      <c r="C83" s="71" t="s">
        <v>15</v>
      </c>
      <c r="D83" s="72">
        <v>5108140</v>
      </c>
      <c r="E83" s="72" t="s">
        <v>145</v>
      </c>
      <c r="F83" s="35">
        <f t="shared" si="11"/>
        <v>0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 outlineLevel="1" x14ac:dyDescent="0.3">
      <c r="A84" s="34" t="s">
        <v>149</v>
      </c>
      <c r="B84" s="71" t="s">
        <v>150</v>
      </c>
      <c r="C84" s="71" t="s">
        <v>15</v>
      </c>
      <c r="D84" s="72">
        <v>5108150</v>
      </c>
      <c r="E84" s="72" t="s">
        <v>151</v>
      </c>
      <c r="F84" s="35">
        <f t="shared" si="11"/>
        <v>0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 outlineLevel="1" x14ac:dyDescent="0.3">
      <c r="A85" s="34" t="s">
        <v>152</v>
      </c>
      <c r="B85" s="71" t="s">
        <v>144</v>
      </c>
      <c r="C85" s="71" t="s">
        <v>15</v>
      </c>
      <c r="D85" s="72">
        <v>5108160</v>
      </c>
      <c r="E85" s="72" t="s">
        <v>145</v>
      </c>
      <c r="F85" s="35">
        <f t="shared" si="11"/>
        <v>0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 outlineLevel="1" x14ac:dyDescent="0.3">
      <c r="A86" s="34" t="s">
        <v>153</v>
      </c>
      <c r="B86" s="71" t="s">
        <v>153</v>
      </c>
      <c r="C86" s="71" t="s">
        <v>15</v>
      </c>
      <c r="D86" s="72">
        <v>5108161</v>
      </c>
      <c r="E86" s="72" t="s">
        <v>154</v>
      </c>
      <c r="F86" s="35">
        <f t="shared" si="11"/>
        <v>8400000</v>
      </c>
      <c r="G86" s="35">
        <v>700000</v>
      </c>
      <c r="H86" s="35">
        <v>700000</v>
      </c>
      <c r="I86" s="35">
        <v>700000</v>
      </c>
      <c r="J86" s="35">
        <v>700000</v>
      </c>
      <c r="K86" s="35">
        <v>700000</v>
      </c>
      <c r="L86" s="35">
        <v>700000</v>
      </c>
      <c r="M86" s="35">
        <v>700000</v>
      </c>
      <c r="N86" s="35">
        <v>700000</v>
      </c>
      <c r="O86" s="35">
        <v>700000</v>
      </c>
      <c r="P86" s="35">
        <v>700000</v>
      </c>
      <c r="Q86" s="35">
        <v>700000</v>
      </c>
      <c r="R86" s="35">
        <v>700000</v>
      </c>
    </row>
    <row r="87" spans="1:18" outlineLevel="1" x14ac:dyDescent="0.3">
      <c r="A87" s="34" t="s">
        <v>155</v>
      </c>
      <c r="B87" s="71" t="s">
        <v>155</v>
      </c>
      <c r="C87" s="71" t="s">
        <v>15</v>
      </c>
      <c r="D87" s="72">
        <v>5108162</v>
      </c>
      <c r="E87" s="72" t="s">
        <v>156</v>
      </c>
      <c r="F87" s="35">
        <f t="shared" si="11"/>
        <v>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 x14ac:dyDescent="0.3">
      <c r="A88" s="26" t="s">
        <v>157</v>
      </c>
      <c r="B88" s="73" t="s">
        <v>7</v>
      </c>
      <c r="C88" s="73"/>
      <c r="D88" s="74"/>
      <c r="E88" s="74"/>
      <c r="F88" s="29">
        <f t="shared" ref="F88:R88" si="12">SUM(F89:F99)</f>
        <v>1969608276</v>
      </c>
      <c r="G88" s="29">
        <f t="shared" si="12"/>
        <v>164134023</v>
      </c>
      <c r="H88" s="29">
        <f t="shared" si="12"/>
        <v>164134023</v>
      </c>
      <c r="I88" s="29">
        <f t="shared" si="12"/>
        <v>164134023</v>
      </c>
      <c r="J88" s="29">
        <f t="shared" si="12"/>
        <v>164134023</v>
      </c>
      <c r="K88" s="29">
        <f t="shared" si="12"/>
        <v>164134023</v>
      </c>
      <c r="L88" s="29">
        <f t="shared" si="12"/>
        <v>164134023</v>
      </c>
      <c r="M88" s="29">
        <f t="shared" si="12"/>
        <v>164134023</v>
      </c>
      <c r="N88" s="29">
        <f t="shared" si="12"/>
        <v>164134023</v>
      </c>
      <c r="O88" s="29">
        <f t="shared" si="12"/>
        <v>164134023</v>
      </c>
      <c r="P88" s="29">
        <f t="shared" si="12"/>
        <v>164134023</v>
      </c>
      <c r="Q88" s="29">
        <f t="shared" si="12"/>
        <v>164134023</v>
      </c>
      <c r="R88" s="29">
        <f t="shared" si="12"/>
        <v>164134023</v>
      </c>
    </row>
    <row r="89" spans="1:18" outlineLevel="1" x14ac:dyDescent="0.3">
      <c r="A89" s="34" t="s">
        <v>158</v>
      </c>
      <c r="B89" s="71" t="s">
        <v>159</v>
      </c>
      <c r="C89" s="71" t="s">
        <v>15</v>
      </c>
      <c r="D89" s="72">
        <v>5109110</v>
      </c>
      <c r="E89" s="72" t="s">
        <v>160</v>
      </c>
      <c r="F89" s="35">
        <f t="shared" ref="F89:F99" si="13">SUM(G89:R89)</f>
        <v>1526267556</v>
      </c>
      <c r="G89" s="52">
        <v>127188963</v>
      </c>
      <c r="H89" s="35">
        <v>127188963</v>
      </c>
      <c r="I89" s="35">
        <v>127188963</v>
      </c>
      <c r="J89" s="35">
        <v>127188963</v>
      </c>
      <c r="K89" s="35">
        <v>127188963</v>
      </c>
      <c r="L89" s="35">
        <v>127188963</v>
      </c>
      <c r="M89" s="35">
        <v>127188963</v>
      </c>
      <c r="N89" s="35">
        <v>127188963</v>
      </c>
      <c r="O89" s="35">
        <v>127188963</v>
      </c>
      <c r="P89" s="35">
        <v>127188963</v>
      </c>
      <c r="Q89" s="35">
        <v>127188963</v>
      </c>
      <c r="R89" s="35">
        <v>127188963</v>
      </c>
    </row>
    <row r="90" spans="1:18" outlineLevel="1" x14ac:dyDescent="0.3">
      <c r="A90" s="34" t="s">
        <v>161</v>
      </c>
      <c r="B90" s="71" t="s">
        <v>159</v>
      </c>
      <c r="C90" s="71" t="s">
        <v>15</v>
      </c>
      <c r="D90" s="72">
        <v>5109120</v>
      </c>
      <c r="E90" s="72" t="s">
        <v>160</v>
      </c>
      <c r="F90" s="35">
        <f t="shared" si="13"/>
        <v>0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 outlineLevel="1" x14ac:dyDescent="0.3">
      <c r="A91" s="34" t="s">
        <v>162</v>
      </c>
      <c r="B91" s="71" t="s">
        <v>159</v>
      </c>
      <c r="C91" s="71" t="s">
        <v>15</v>
      </c>
      <c r="D91" s="72">
        <v>5109130</v>
      </c>
      <c r="E91" s="72" t="s">
        <v>160</v>
      </c>
      <c r="F91" s="35">
        <f t="shared" si="13"/>
        <v>25102104</v>
      </c>
      <c r="G91" s="35">
        <v>2091842</v>
      </c>
      <c r="H91" s="35">
        <v>2091842</v>
      </c>
      <c r="I91" s="35">
        <v>2091842</v>
      </c>
      <c r="J91" s="35">
        <v>2091842</v>
      </c>
      <c r="K91" s="35">
        <v>2091842</v>
      </c>
      <c r="L91" s="35">
        <v>2091842</v>
      </c>
      <c r="M91" s="35">
        <v>2091842</v>
      </c>
      <c r="N91" s="35">
        <v>2091842</v>
      </c>
      <c r="O91" s="35">
        <v>2091842</v>
      </c>
      <c r="P91" s="35">
        <v>2091842</v>
      </c>
      <c r="Q91" s="35">
        <v>2091842</v>
      </c>
      <c r="R91" s="35">
        <v>2091842</v>
      </c>
    </row>
    <row r="92" spans="1:18" outlineLevel="1" x14ac:dyDescent="0.3">
      <c r="A92" s="40" t="s">
        <v>163</v>
      </c>
      <c r="B92" s="71" t="s">
        <v>159</v>
      </c>
      <c r="C92" s="71" t="s">
        <v>15</v>
      </c>
      <c r="D92" s="72">
        <v>5109140</v>
      </c>
      <c r="E92" s="72" t="s">
        <v>160</v>
      </c>
      <c r="F92" s="35">
        <f t="shared" si="13"/>
        <v>0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</row>
    <row r="93" spans="1:18" outlineLevel="1" x14ac:dyDescent="0.3">
      <c r="A93" s="34" t="s">
        <v>164</v>
      </c>
      <c r="B93" s="71" t="s">
        <v>159</v>
      </c>
      <c r="C93" s="71" t="s">
        <v>15</v>
      </c>
      <c r="D93" s="72">
        <v>5109150</v>
      </c>
      <c r="E93" s="72" t="s">
        <v>160</v>
      </c>
      <c r="F93" s="35">
        <f t="shared" si="13"/>
        <v>13619004</v>
      </c>
      <c r="G93" s="35">
        <v>1134917</v>
      </c>
      <c r="H93" s="35">
        <v>1134917</v>
      </c>
      <c r="I93" s="35">
        <v>1134917</v>
      </c>
      <c r="J93" s="35">
        <v>1134917</v>
      </c>
      <c r="K93" s="35">
        <v>1134917</v>
      </c>
      <c r="L93" s="35">
        <v>1134917</v>
      </c>
      <c r="M93" s="35">
        <v>1134917</v>
      </c>
      <c r="N93" s="35">
        <v>1134917</v>
      </c>
      <c r="O93" s="35">
        <v>1134917</v>
      </c>
      <c r="P93" s="35">
        <v>1134917</v>
      </c>
      <c r="Q93" s="35">
        <v>1134917</v>
      </c>
      <c r="R93" s="35">
        <v>1134917</v>
      </c>
    </row>
    <row r="94" spans="1:18" outlineLevel="1" x14ac:dyDescent="0.3">
      <c r="A94" s="34" t="s">
        <v>165</v>
      </c>
      <c r="B94" s="71" t="s">
        <v>159</v>
      </c>
      <c r="C94" s="71" t="s">
        <v>15</v>
      </c>
      <c r="D94" s="72">
        <v>5109160</v>
      </c>
      <c r="E94" s="72" t="s">
        <v>160</v>
      </c>
      <c r="F94" s="35">
        <f t="shared" si="13"/>
        <v>0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 outlineLevel="1" x14ac:dyDescent="0.3">
      <c r="A95" s="34" t="s">
        <v>166</v>
      </c>
      <c r="B95" s="71" t="s">
        <v>159</v>
      </c>
      <c r="C95" s="71" t="s">
        <v>15</v>
      </c>
      <c r="D95" s="72">
        <v>5109170</v>
      </c>
      <c r="E95" s="72" t="s">
        <v>160</v>
      </c>
      <c r="F95" s="35">
        <f t="shared" si="13"/>
        <v>404619612</v>
      </c>
      <c r="G95" s="35">
        <v>33718301</v>
      </c>
      <c r="H95" s="35">
        <v>33718301</v>
      </c>
      <c r="I95" s="35">
        <v>33718301</v>
      </c>
      <c r="J95" s="35">
        <v>33718301</v>
      </c>
      <c r="K95" s="35">
        <v>33718301</v>
      </c>
      <c r="L95" s="35">
        <v>33718301</v>
      </c>
      <c r="M95" s="35">
        <v>33718301</v>
      </c>
      <c r="N95" s="35">
        <v>33718301</v>
      </c>
      <c r="O95" s="35">
        <v>33718301</v>
      </c>
      <c r="P95" s="35">
        <v>33718301</v>
      </c>
      <c r="Q95" s="35">
        <v>33718301</v>
      </c>
      <c r="R95" s="35">
        <v>33718301</v>
      </c>
    </row>
    <row r="96" spans="1:18" outlineLevel="1" x14ac:dyDescent="0.3">
      <c r="A96" s="34" t="s">
        <v>167</v>
      </c>
      <c r="B96" s="71" t="s">
        <v>159</v>
      </c>
      <c r="C96" s="71" t="s">
        <v>15</v>
      </c>
      <c r="D96" s="72">
        <v>5109180</v>
      </c>
      <c r="E96" s="72" t="s">
        <v>160</v>
      </c>
      <c r="F96" s="35">
        <f t="shared" si="13"/>
        <v>0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 outlineLevel="1" x14ac:dyDescent="0.3">
      <c r="A97" s="34" t="s">
        <v>168</v>
      </c>
      <c r="B97" s="71" t="s">
        <v>159</v>
      </c>
      <c r="C97" s="71" t="s">
        <v>15</v>
      </c>
      <c r="D97" s="72">
        <v>5109190</v>
      </c>
      <c r="E97" s="72" t="s">
        <v>160</v>
      </c>
      <c r="F97" s="35">
        <f t="shared" si="13"/>
        <v>0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 outlineLevel="1" x14ac:dyDescent="0.3">
      <c r="A98" s="34" t="s">
        <v>169</v>
      </c>
      <c r="B98" s="71" t="s">
        <v>159</v>
      </c>
      <c r="C98" s="71" t="s">
        <v>15</v>
      </c>
      <c r="D98" s="72">
        <v>5109210</v>
      </c>
      <c r="E98" s="72" t="s">
        <v>160</v>
      </c>
      <c r="F98" s="35">
        <f t="shared" si="13"/>
        <v>0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 outlineLevel="1" x14ac:dyDescent="0.3">
      <c r="A99" s="34" t="s">
        <v>170</v>
      </c>
      <c r="B99" s="71" t="s">
        <v>159</v>
      </c>
      <c r="C99" s="71" t="s">
        <v>15</v>
      </c>
      <c r="D99" s="72">
        <v>5109220</v>
      </c>
      <c r="E99" s="72" t="s">
        <v>160</v>
      </c>
      <c r="F99" s="35">
        <f t="shared" si="13"/>
        <v>0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 x14ac:dyDescent="0.3">
      <c r="A100" s="26" t="s">
        <v>171</v>
      </c>
      <c r="B100" s="73" t="s">
        <v>7</v>
      </c>
      <c r="C100" s="73"/>
      <c r="D100" s="74"/>
      <c r="E100" s="74"/>
      <c r="F100" s="29">
        <f t="shared" ref="F100:R100" si="14">SUM(F101:F106)</f>
        <v>84000000</v>
      </c>
      <c r="G100" s="29">
        <f t="shared" si="14"/>
        <v>3500000</v>
      </c>
      <c r="H100" s="29">
        <f t="shared" si="14"/>
        <v>3500000</v>
      </c>
      <c r="I100" s="29">
        <f t="shared" si="14"/>
        <v>3500000</v>
      </c>
      <c r="J100" s="29">
        <f t="shared" si="14"/>
        <v>23500000</v>
      </c>
      <c r="K100" s="29">
        <f t="shared" si="14"/>
        <v>3500000</v>
      </c>
      <c r="L100" s="29">
        <f t="shared" si="14"/>
        <v>8500000</v>
      </c>
      <c r="M100" s="29">
        <f t="shared" si="14"/>
        <v>15500000</v>
      </c>
      <c r="N100" s="29">
        <f t="shared" si="14"/>
        <v>3500000</v>
      </c>
      <c r="O100" s="29">
        <f t="shared" si="14"/>
        <v>3500000</v>
      </c>
      <c r="P100" s="29">
        <f t="shared" si="14"/>
        <v>3500000</v>
      </c>
      <c r="Q100" s="29">
        <f t="shared" si="14"/>
        <v>3500000</v>
      </c>
      <c r="R100" s="29">
        <f t="shared" si="14"/>
        <v>8500000</v>
      </c>
    </row>
    <row r="101" spans="1:18" outlineLevel="1" x14ac:dyDescent="0.3">
      <c r="A101" s="34" t="s">
        <v>172</v>
      </c>
      <c r="B101" s="71" t="s">
        <v>173</v>
      </c>
      <c r="C101" s="71" t="s">
        <v>15</v>
      </c>
      <c r="D101" s="72">
        <v>5110110</v>
      </c>
      <c r="E101" s="72" t="s">
        <v>174</v>
      </c>
      <c r="F101" s="35">
        <f t="shared" ref="F101:F106" si="15">SUM(G101:R101)</f>
        <v>68000000</v>
      </c>
      <c r="G101" s="35">
        <v>3000000</v>
      </c>
      <c r="H101" s="35">
        <v>3000000</v>
      </c>
      <c r="I101" s="35">
        <v>3000000</v>
      </c>
      <c r="J101" s="35">
        <v>23000000</v>
      </c>
      <c r="K101" s="35">
        <v>3000000</v>
      </c>
      <c r="L101" s="35">
        <v>3000000</v>
      </c>
      <c r="M101" s="35">
        <v>15000000</v>
      </c>
      <c r="N101" s="35">
        <v>3000000</v>
      </c>
      <c r="O101" s="35">
        <v>3000000</v>
      </c>
      <c r="P101" s="35">
        <v>3000000</v>
      </c>
      <c r="Q101" s="35">
        <v>3000000</v>
      </c>
      <c r="R101" s="35">
        <v>3000000</v>
      </c>
    </row>
    <row r="102" spans="1:18" outlineLevel="1" x14ac:dyDescent="0.3">
      <c r="A102" s="34" t="s">
        <v>175</v>
      </c>
      <c r="B102" s="71" t="s">
        <v>173</v>
      </c>
      <c r="C102" s="71" t="s">
        <v>15</v>
      </c>
      <c r="D102" s="72">
        <v>5110120</v>
      </c>
      <c r="E102" s="72" t="s">
        <v>174</v>
      </c>
      <c r="F102" s="35">
        <f t="shared" si="15"/>
        <v>0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 outlineLevel="1" x14ac:dyDescent="0.3">
      <c r="A103" s="34" t="s">
        <v>176</v>
      </c>
      <c r="B103" s="71" t="s">
        <v>173</v>
      </c>
      <c r="C103" s="71" t="s">
        <v>27</v>
      </c>
      <c r="D103" s="72">
        <v>5110130</v>
      </c>
      <c r="E103" s="72" t="s">
        <v>174</v>
      </c>
      <c r="F103" s="35">
        <f t="shared" si="15"/>
        <v>0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</row>
    <row r="104" spans="1:18" outlineLevel="1" x14ac:dyDescent="0.3">
      <c r="A104" s="34" t="s">
        <v>177</v>
      </c>
      <c r="B104" s="71" t="s">
        <v>173</v>
      </c>
      <c r="C104" s="71" t="s">
        <v>27</v>
      </c>
      <c r="D104" s="72">
        <v>5110140</v>
      </c>
      <c r="E104" s="72" t="s">
        <v>174</v>
      </c>
      <c r="F104" s="35">
        <f t="shared" si="15"/>
        <v>0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 outlineLevel="1" x14ac:dyDescent="0.3">
      <c r="A105" s="34" t="s">
        <v>178</v>
      </c>
      <c r="B105" s="71" t="s">
        <v>179</v>
      </c>
      <c r="C105" s="71" t="s">
        <v>15</v>
      </c>
      <c r="D105" s="72">
        <v>5110150</v>
      </c>
      <c r="E105" s="72" t="s">
        <v>180</v>
      </c>
      <c r="F105" s="35">
        <f t="shared" si="15"/>
        <v>16000000</v>
      </c>
      <c r="G105" s="35">
        <v>500000</v>
      </c>
      <c r="H105" s="35">
        <v>500000</v>
      </c>
      <c r="I105" s="35">
        <v>500000</v>
      </c>
      <c r="J105" s="35">
        <v>500000</v>
      </c>
      <c r="K105" s="35">
        <v>500000</v>
      </c>
      <c r="L105" s="35">
        <v>5500000</v>
      </c>
      <c r="M105" s="35">
        <v>500000</v>
      </c>
      <c r="N105" s="35">
        <v>500000</v>
      </c>
      <c r="O105" s="35">
        <v>500000</v>
      </c>
      <c r="P105" s="35">
        <v>500000</v>
      </c>
      <c r="Q105" s="35">
        <v>500000</v>
      </c>
      <c r="R105" s="35">
        <v>5500000</v>
      </c>
    </row>
    <row r="106" spans="1:18" outlineLevel="1" x14ac:dyDescent="0.3">
      <c r="A106" s="34" t="s">
        <v>181</v>
      </c>
      <c r="B106" s="71" t="s">
        <v>179</v>
      </c>
      <c r="C106" s="71" t="s">
        <v>15</v>
      </c>
      <c r="D106" s="72" t="s">
        <v>182</v>
      </c>
      <c r="E106" s="72"/>
      <c r="F106" s="35">
        <f t="shared" si="15"/>
        <v>0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 x14ac:dyDescent="0.3">
      <c r="A107" s="26" t="s">
        <v>183</v>
      </c>
      <c r="B107" s="73" t="s">
        <v>7</v>
      </c>
      <c r="C107" s="73"/>
      <c r="D107" s="74"/>
      <c r="E107" s="74"/>
      <c r="F107" s="29">
        <f t="shared" ref="F107:R107" si="16">SUM(F108:F114)</f>
        <v>14677080</v>
      </c>
      <c r="G107" s="29">
        <f t="shared" si="16"/>
        <v>1223090</v>
      </c>
      <c r="H107" s="29">
        <f t="shared" si="16"/>
        <v>1223090</v>
      </c>
      <c r="I107" s="29">
        <f t="shared" si="16"/>
        <v>1223090</v>
      </c>
      <c r="J107" s="29">
        <f t="shared" si="16"/>
        <v>1223090</v>
      </c>
      <c r="K107" s="29">
        <f t="shared" si="16"/>
        <v>1223090</v>
      </c>
      <c r="L107" s="29">
        <f t="shared" si="16"/>
        <v>1223090</v>
      </c>
      <c r="M107" s="29">
        <f t="shared" si="16"/>
        <v>1223090</v>
      </c>
      <c r="N107" s="29">
        <f t="shared" si="16"/>
        <v>1223090</v>
      </c>
      <c r="O107" s="29">
        <f t="shared" si="16"/>
        <v>1223090</v>
      </c>
      <c r="P107" s="29">
        <f t="shared" si="16"/>
        <v>1223090</v>
      </c>
      <c r="Q107" s="29">
        <f t="shared" si="16"/>
        <v>1223090</v>
      </c>
      <c r="R107" s="29">
        <f t="shared" si="16"/>
        <v>1223090</v>
      </c>
    </row>
    <row r="108" spans="1:18" outlineLevel="1" x14ac:dyDescent="0.3">
      <c r="A108" s="34" t="s">
        <v>184</v>
      </c>
      <c r="B108" s="71" t="s">
        <v>185</v>
      </c>
      <c r="C108" s="71" t="s">
        <v>15</v>
      </c>
      <c r="D108" s="72">
        <v>5111110</v>
      </c>
      <c r="E108" s="72" t="s">
        <v>186</v>
      </c>
      <c r="F108" s="35">
        <f t="shared" ref="F108:F114" si="17">SUM(G108:R108)</f>
        <v>8636160</v>
      </c>
      <c r="G108" s="99">
        <v>719680</v>
      </c>
      <c r="H108" s="99">
        <v>719680</v>
      </c>
      <c r="I108" s="99">
        <v>719680</v>
      </c>
      <c r="J108" s="99">
        <v>719680</v>
      </c>
      <c r="K108" s="99">
        <v>719680</v>
      </c>
      <c r="L108" s="99">
        <v>719680</v>
      </c>
      <c r="M108" s="99">
        <v>719680</v>
      </c>
      <c r="N108" s="99">
        <v>719680</v>
      </c>
      <c r="O108" s="99">
        <v>719680</v>
      </c>
      <c r="P108" s="99">
        <v>719680</v>
      </c>
      <c r="Q108" s="99">
        <v>719680</v>
      </c>
      <c r="R108" s="99">
        <v>719680</v>
      </c>
    </row>
    <row r="109" spans="1:18" outlineLevel="1" x14ac:dyDescent="0.3">
      <c r="A109" s="34" t="s">
        <v>187</v>
      </c>
      <c r="B109" s="71" t="s">
        <v>185</v>
      </c>
      <c r="C109" s="71" t="s">
        <v>15</v>
      </c>
      <c r="D109" s="72">
        <v>5111120</v>
      </c>
      <c r="E109" s="72" t="s">
        <v>186</v>
      </c>
      <c r="F109" s="35">
        <f t="shared" si="17"/>
        <v>4527576</v>
      </c>
      <c r="G109" s="99">
        <v>377298</v>
      </c>
      <c r="H109" s="99">
        <v>377298</v>
      </c>
      <c r="I109" s="99">
        <v>377298</v>
      </c>
      <c r="J109" s="99">
        <v>377298</v>
      </c>
      <c r="K109" s="99">
        <v>377298</v>
      </c>
      <c r="L109" s="99">
        <v>377298</v>
      </c>
      <c r="M109" s="99">
        <v>377298</v>
      </c>
      <c r="N109" s="99">
        <v>377298</v>
      </c>
      <c r="O109" s="99">
        <v>377298</v>
      </c>
      <c r="P109" s="99">
        <v>377298</v>
      </c>
      <c r="Q109" s="99">
        <v>377298</v>
      </c>
      <c r="R109" s="99">
        <v>377298</v>
      </c>
    </row>
    <row r="110" spans="1:18" outlineLevel="1" x14ac:dyDescent="0.3">
      <c r="A110" s="34" t="s">
        <v>188</v>
      </c>
      <c r="B110" s="71" t="s">
        <v>185</v>
      </c>
      <c r="C110" s="71" t="s">
        <v>15</v>
      </c>
      <c r="D110" s="72">
        <v>5111130</v>
      </c>
      <c r="E110" s="72" t="s">
        <v>186</v>
      </c>
      <c r="F110" s="35">
        <f t="shared" si="17"/>
        <v>1513344</v>
      </c>
      <c r="G110" s="99">
        <v>126112</v>
      </c>
      <c r="H110" s="99">
        <v>126112</v>
      </c>
      <c r="I110" s="99">
        <v>126112</v>
      </c>
      <c r="J110" s="99">
        <v>126112</v>
      </c>
      <c r="K110" s="99">
        <v>126112</v>
      </c>
      <c r="L110" s="99">
        <v>126112</v>
      </c>
      <c r="M110" s="99">
        <v>126112</v>
      </c>
      <c r="N110" s="99">
        <v>126112</v>
      </c>
      <c r="O110" s="99">
        <v>126112</v>
      </c>
      <c r="P110" s="99">
        <v>126112</v>
      </c>
      <c r="Q110" s="99">
        <v>126112</v>
      </c>
      <c r="R110" s="99">
        <v>126112</v>
      </c>
    </row>
    <row r="111" spans="1:18" outlineLevel="1" x14ac:dyDescent="0.3">
      <c r="A111" s="34" t="s">
        <v>189</v>
      </c>
      <c r="B111" s="71" t="s">
        <v>185</v>
      </c>
      <c r="C111" s="71" t="s">
        <v>15</v>
      </c>
      <c r="D111" s="72">
        <v>5111140</v>
      </c>
      <c r="E111" s="72" t="s">
        <v>186</v>
      </c>
      <c r="F111" s="35">
        <f t="shared" si="17"/>
        <v>0</v>
      </c>
      <c r="G111" s="35"/>
      <c r="H111" s="35"/>
      <c r="I111" s="53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 outlineLevel="1" x14ac:dyDescent="0.3">
      <c r="A112" s="34" t="s">
        <v>190</v>
      </c>
      <c r="B112" s="71" t="s">
        <v>185</v>
      </c>
      <c r="C112" s="71" t="s">
        <v>15</v>
      </c>
      <c r="D112" s="72">
        <v>5111150</v>
      </c>
      <c r="E112" s="72" t="s">
        <v>186</v>
      </c>
      <c r="F112" s="35">
        <f t="shared" si="17"/>
        <v>0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 outlineLevel="1" x14ac:dyDescent="0.3">
      <c r="A113" s="34" t="s">
        <v>191</v>
      </c>
      <c r="B113" s="71" t="s">
        <v>185</v>
      </c>
      <c r="C113" s="71" t="s">
        <v>15</v>
      </c>
      <c r="D113" s="72">
        <v>5111160</v>
      </c>
      <c r="E113" s="72" t="s">
        <v>186</v>
      </c>
      <c r="F113" s="35">
        <f t="shared" si="17"/>
        <v>0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 outlineLevel="1" x14ac:dyDescent="0.3">
      <c r="A114" s="34" t="s">
        <v>192</v>
      </c>
      <c r="B114" s="71" t="s">
        <v>185</v>
      </c>
      <c r="C114" s="71" t="s">
        <v>15</v>
      </c>
      <c r="D114" s="72">
        <v>5111141</v>
      </c>
      <c r="E114" s="72" t="s">
        <v>186</v>
      </c>
      <c r="F114" s="35">
        <f t="shared" si="17"/>
        <v>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 x14ac:dyDescent="0.3">
      <c r="A115" s="26" t="s">
        <v>193</v>
      </c>
      <c r="B115" s="73" t="s">
        <v>7</v>
      </c>
      <c r="C115" s="73"/>
      <c r="D115" s="74"/>
      <c r="E115" s="74"/>
      <c r="F115" s="29">
        <f t="shared" ref="F115:R115" si="18">SUM(F116:F117)</f>
        <v>0</v>
      </c>
      <c r="G115" s="29">
        <f t="shared" si="18"/>
        <v>0</v>
      </c>
      <c r="H115" s="29">
        <f t="shared" si="18"/>
        <v>0</v>
      </c>
      <c r="I115" s="29">
        <f t="shared" si="18"/>
        <v>0</v>
      </c>
      <c r="J115" s="29">
        <f t="shared" si="18"/>
        <v>0</v>
      </c>
      <c r="K115" s="29">
        <f t="shared" si="18"/>
        <v>0</v>
      </c>
      <c r="L115" s="29">
        <f t="shared" si="18"/>
        <v>0</v>
      </c>
      <c r="M115" s="29">
        <f t="shared" si="18"/>
        <v>0</v>
      </c>
      <c r="N115" s="29">
        <f t="shared" si="18"/>
        <v>0</v>
      </c>
      <c r="O115" s="29">
        <f t="shared" si="18"/>
        <v>0</v>
      </c>
      <c r="P115" s="29">
        <f t="shared" si="18"/>
        <v>0</v>
      </c>
      <c r="Q115" s="29">
        <f t="shared" si="18"/>
        <v>0</v>
      </c>
      <c r="R115" s="29">
        <f t="shared" si="18"/>
        <v>0</v>
      </c>
    </row>
    <row r="116" spans="1:18" outlineLevel="1" x14ac:dyDescent="0.3">
      <c r="A116" s="34" t="s">
        <v>194</v>
      </c>
      <c r="B116" s="71" t="s">
        <v>195</v>
      </c>
      <c r="C116" s="71" t="s">
        <v>15</v>
      </c>
      <c r="D116" s="72">
        <v>5112110</v>
      </c>
      <c r="E116" s="72" t="s">
        <v>196</v>
      </c>
      <c r="F116" s="35">
        <f>SUM(G116:R116)</f>
        <v>0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 outlineLevel="1" x14ac:dyDescent="0.3">
      <c r="A117" s="34" t="s">
        <v>197</v>
      </c>
      <c r="B117" s="71" t="s">
        <v>197</v>
      </c>
      <c r="C117" s="71" t="s">
        <v>15</v>
      </c>
      <c r="D117" s="72">
        <v>5112120</v>
      </c>
      <c r="E117" s="72" t="s">
        <v>198</v>
      </c>
      <c r="F117" s="35">
        <f>SUM(G117:R117)</f>
        <v>0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 x14ac:dyDescent="0.3">
      <c r="A118" s="26" t="s">
        <v>199</v>
      </c>
      <c r="B118" s="73" t="s">
        <v>7</v>
      </c>
      <c r="C118" s="73"/>
      <c r="D118" s="74"/>
      <c r="E118" s="74"/>
      <c r="F118" s="29">
        <f t="shared" ref="F118:R118" si="19">SUM(F119:F127)</f>
        <v>0</v>
      </c>
      <c r="G118" s="29">
        <f t="shared" si="19"/>
        <v>0</v>
      </c>
      <c r="H118" s="29">
        <f t="shared" si="19"/>
        <v>0</v>
      </c>
      <c r="I118" s="29">
        <f t="shared" si="19"/>
        <v>0</v>
      </c>
      <c r="J118" s="29">
        <f t="shared" si="19"/>
        <v>0</v>
      </c>
      <c r="K118" s="29">
        <f t="shared" si="19"/>
        <v>0</v>
      </c>
      <c r="L118" s="29">
        <f t="shared" si="19"/>
        <v>0</v>
      </c>
      <c r="M118" s="29">
        <f t="shared" si="19"/>
        <v>0</v>
      </c>
      <c r="N118" s="29">
        <f t="shared" si="19"/>
        <v>0</v>
      </c>
      <c r="O118" s="29">
        <f t="shared" si="19"/>
        <v>0</v>
      </c>
      <c r="P118" s="29">
        <f t="shared" si="19"/>
        <v>0</v>
      </c>
      <c r="Q118" s="29">
        <f t="shared" si="19"/>
        <v>0</v>
      </c>
      <c r="R118" s="29">
        <f t="shared" si="19"/>
        <v>0</v>
      </c>
    </row>
    <row r="119" spans="1:18" outlineLevel="1" x14ac:dyDescent="0.3">
      <c r="A119" s="34" t="s">
        <v>200</v>
      </c>
      <c r="B119" s="71" t="s">
        <v>201</v>
      </c>
      <c r="C119" s="71" t="s">
        <v>27</v>
      </c>
      <c r="D119" s="72">
        <v>5113110</v>
      </c>
      <c r="E119" s="72" t="s">
        <v>202</v>
      </c>
      <c r="F119" s="35">
        <f t="shared" ref="F119:F127" si="20">SUM(G119:R119)</f>
        <v>0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 outlineLevel="1" x14ac:dyDescent="0.3">
      <c r="A120" s="34" t="s">
        <v>203</v>
      </c>
      <c r="B120" s="71" t="s">
        <v>204</v>
      </c>
      <c r="C120" s="71" t="s">
        <v>27</v>
      </c>
      <c r="D120" s="72">
        <v>5113120</v>
      </c>
      <c r="E120" s="72" t="s">
        <v>205</v>
      </c>
      <c r="F120" s="35">
        <f t="shared" si="20"/>
        <v>0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 outlineLevel="1" x14ac:dyDescent="0.3">
      <c r="A121" s="34" t="s">
        <v>206</v>
      </c>
      <c r="B121" s="71" t="s">
        <v>207</v>
      </c>
      <c r="C121" s="71" t="s">
        <v>27</v>
      </c>
      <c r="D121" s="72">
        <v>5113130</v>
      </c>
      <c r="E121" s="72" t="s">
        <v>208</v>
      </c>
      <c r="F121" s="35">
        <f t="shared" si="20"/>
        <v>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 outlineLevel="1" x14ac:dyDescent="0.3">
      <c r="A122" s="34" t="s">
        <v>209</v>
      </c>
      <c r="B122" s="71" t="s">
        <v>207</v>
      </c>
      <c r="C122" s="71" t="s">
        <v>27</v>
      </c>
      <c r="D122" s="72">
        <v>5113140</v>
      </c>
      <c r="E122" s="72" t="s">
        <v>208</v>
      </c>
      <c r="F122" s="35">
        <f t="shared" si="20"/>
        <v>0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 outlineLevel="1" x14ac:dyDescent="0.3">
      <c r="A123" s="34" t="s">
        <v>210</v>
      </c>
      <c r="B123" s="71" t="s">
        <v>211</v>
      </c>
      <c r="C123" s="71" t="s">
        <v>27</v>
      </c>
      <c r="D123" s="72">
        <v>5113150</v>
      </c>
      <c r="E123" s="72" t="s">
        <v>212</v>
      </c>
      <c r="F123" s="35">
        <f t="shared" si="20"/>
        <v>0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 outlineLevel="1" x14ac:dyDescent="0.3">
      <c r="A124" s="34" t="s">
        <v>213</v>
      </c>
      <c r="B124" s="71" t="s">
        <v>207</v>
      </c>
      <c r="C124" s="71" t="s">
        <v>27</v>
      </c>
      <c r="D124" s="72"/>
      <c r="E124" s="72" t="s">
        <v>208</v>
      </c>
      <c r="F124" s="35">
        <f t="shared" si="20"/>
        <v>0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 outlineLevel="1" x14ac:dyDescent="0.3">
      <c r="A125" s="34" t="s">
        <v>214</v>
      </c>
      <c r="B125" s="71" t="s">
        <v>207</v>
      </c>
      <c r="C125" s="71" t="s">
        <v>27</v>
      </c>
      <c r="D125" s="72">
        <v>5113170</v>
      </c>
      <c r="E125" s="72" t="s">
        <v>208</v>
      </c>
      <c r="F125" s="35">
        <f t="shared" si="20"/>
        <v>0</v>
      </c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 outlineLevel="1" x14ac:dyDescent="0.3">
      <c r="A126" s="34" t="s">
        <v>215</v>
      </c>
      <c r="B126" s="71" t="s">
        <v>7</v>
      </c>
      <c r="C126" s="71" t="s">
        <v>27</v>
      </c>
      <c r="D126" s="72">
        <v>5113210</v>
      </c>
      <c r="E126" s="72" t="s">
        <v>202</v>
      </c>
      <c r="F126" s="35">
        <f t="shared" si="20"/>
        <v>0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 outlineLevel="1" x14ac:dyDescent="0.3">
      <c r="A127" s="34" t="s">
        <v>216</v>
      </c>
      <c r="B127" s="75" t="s">
        <v>217</v>
      </c>
      <c r="C127" s="75" t="s">
        <v>27</v>
      </c>
      <c r="D127" s="72">
        <v>5113160</v>
      </c>
      <c r="E127" s="72" t="s">
        <v>208</v>
      </c>
      <c r="F127" s="35">
        <f t="shared" si="20"/>
        <v>0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 x14ac:dyDescent="0.3">
      <c r="A128" s="26" t="s">
        <v>218</v>
      </c>
      <c r="B128" s="73" t="s">
        <v>7</v>
      </c>
      <c r="C128" s="73"/>
      <c r="D128" s="74"/>
      <c r="E128" s="74"/>
      <c r="F128" s="29">
        <f t="shared" ref="F128:R128" si="21">F129</f>
        <v>0</v>
      </c>
      <c r="G128" s="29">
        <f t="shared" si="21"/>
        <v>0</v>
      </c>
      <c r="H128" s="29">
        <f t="shared" si="21"/>
        <v>0</v>
      </c>
      <c r="I128" s="29">
        <f t="shared" si="21"/>
        <v>0</v>
      </c>
      <c r="J128" s="29">
        <f t="shared" si="21"/>
        <v>0</v>
      </c>
      <c r="K128" s="29">
        <f t="shared" si="21"/>
        <v>0</v>
      </c>
      <c r="L128" s="29">
        <f t="shared" si="21"/>
        <v>0</v>
      </c>
      <c r="M128" s="29">
        <f t="shared" si="21"/>
        <v>0</v>
      </c>
      <c r="N128" s="29">
        <f t="shared" si="21"/>
        <v>0</v>
      </c>
      <c r="O128" s="29">
        <f t="shared" si="21"/>
        <v>0</v>
      </c>
      <c r="P128" s="29">
        <f t="shared" si="21"/>
        <v>0</v>
      </c>
      <c r="Q128" s="29">
        <f t="shared" si="21"/>
        <v>0</v>
      </c>
      <c r="R128" s="29">
        <f t="shared" si="21"/>
        <v>0</v>
      </c>
    </row>
    <row r="129" spans="1:18" outlineLevel="1" x14ac:dyDescent="0.3">
      <c r="A129" s="34" t="s">
        <v>219</v>
      </c>
      <c r="B129" s="71" t="s">
        <v>220</v>
      </c>
      <c r="C129" s="71" t="s">
        <v>15</v>
      </c>
      <c r="D129" s="72">
        <v>5115110</v>
      </c>
      <c r="E129" s="72" t="s">
        <v>221</v>
      </c>
      <c r="F129" s="35">
        <f>SUM(G129:R129)</f>
        <v>0</v>
      </c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 x14ac:dyDescent="0.3">
      <c r="A130" s="26" t="s">
        <v>222</v>
      </c>
      <c r="B130" s="73" t="s">
        <v>7</v>
      </c>
      <c r="C130" s="73"/>
      <c r="D130" s="74"/>
      <c r="E130" s="74"/>
      <c r="F130" s="29">
        <f t="shared" ref="F130:R130" si="22">SUM(F131:F137)</f>
        <v>1920000</v>
      </c>
      <c r="G130" s="29">
        <f t="shared" si="22"/>
        <v>160000</v>
      </c>
      <c r="H130" s="29">
        <f t="shared" si="22"/>
        <v>160000</v>
      </c>
      <c r="I130" s="29">
        <f t="shared" si="22"/>
        <v>160000</v>
      </c>
      <c r="J130" s="29">
        <f t="shared" si="22"/>
        <v>160000</v>
      </c>
      <c r="K130" s="29">
        <f t="shared" si="22"/>
        <v>160000</v>
      </c>
      <c r="L130" s="29">
        <f t="shared" si="22"/>
        <v>160000</v>
      </c>
      <c r="M130" s="29">
        <f t="shared" si="22"/>
        <v>160000</v>
      </c>
      <c r="N130" s="29">
        <f t="shared" si="22"/>
        <v>160000</v>
      </c>
      <c r="O130" s="29">
        <f t="shared" si="22"/>
        <v>160000</v>
      </c>
      <c r="P130" s="29">
        <f t="shared" si="22"/>
        <v>160000</v>
      </c>
      <c r="Q130" s="29">
        <f t="shared" si="22"/>
        <v>160000</v>
      </c>
      <c r="R130" s="29">
        <f t="shared" si="22"/>
        <v>160000</v>
      </c>
    </row>
    <row r="131" spans="1:18" outlineLevel="1" x14ac:dyDescent="0.3">
      <c r="A131" s="34" t="s">
        <v>223</v>
      </c>
      <c r="B131" s="71" t="s">
        <v>224</v>
      </c>
      <c r="C131" s="71" t="s">
        <v>15</v>
      </c>
      <c r="D131" s="72">
        <v>5116110</v>
      </c>
      <c r="E131" s="72" t="s">
        <v>225</v>
      </c>
      <c r="F131" s="35">
        <f t="shared" ref="F131:F137" si="23">SUM(G131:R131)</f>
        <v>0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 outlineLevel="1" x14ac:dyDescent="0.3">
      <c r="A132" s="34" t="s">
        <v>226</v>
      </c>
      <c r="B132" s="71" t="s">
        <v>224</v>
      </c>
      <c r="C132" s="71" t="s">
        <v>15</v>
      </c>
      <c r="D132" s="72">
        <v>5116120</v>
      </c>
      <c r="E132" s="72" t="s">
        <v>225</v>
      </c>
      <c r="F132" s="35">
        <f t="shared" si="23"/>
        <v>0</v>
      </c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 outlineLevel="1" x14ac:dyDescent="0.3">
      <c r="A133" s="34" t="s">
        <v>227</v>
      </c>
      <c r="B133" s="71" t="s">
        <v>228</v>
      </c>
      <c r="C133" s="71" t="s">
        <v>15</v>
      </c>
      <c r="D133" s="72">
        <v>5116130</v>
      </c>
      <c r="E133" s="72" t="s">
        <v>229</v>
      </c>
      <c r="F133" s="35">
        <f t="shared" si="23"/>
        <v>1440000</v>
      </c>
      <c r="G133" s="35">
        <v>120000</v>
      </c>
      <c r="H133" s="35">
        <v>120000</v>
      </c>
      <c r="I133" s="35">
        <v>120000</v>
      </c>
      <c r="J133" s="35">
        <v>120000</v>
      </c>
      <c r="K133" s="35">
        <v>120000</v>
      </c>
      <c r="L133" s="35">
        <v>120000</v>
      </c>
      <c r="M133" s="35">
        <v>120000</v>
      </c>
      <c r="N133" s="35">
        <v>120000</v>
      </c>
      <c r="O133" s="35">
        <v>120000</v>
      </c>
      <c r="P133" s="35">
        <v>120000</v>
      </c>
      <c r="Q133" s="35">
        <v>120000</v>
      </c>
      <c r="R133" s="35">
        <v>120000</v>
      </c>
    </row>
    <row r="134" spans="1:18" outlineLevel="1" x14ac:dyDescent="0.3">
      <c r="A134" s="34" t="s">
        <v>230</v>
      </c>
      <c r="B134" s="71" t="s">
        <v>224</v>
      </c>
      <c r="C134" s="71" t="s">
        <v>15</v>
      </c>
      <c r="D134" s="72">
        <v>5116140</v>
      </c>
      <c r="E134" s="72" t="s">
        <v>225</v>
      </c>
      <c r="F134" s="35">
        <f t="shared" si="23"/>
        <v>0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 outlineLevel="1" x14ac:dyDescent="0.3">
      <c r="A135" s="34" t="s">
        <v>231</v>
      </c>
      <c r="B135" s="71" t="s">
        <v>228</v>
      </c>
      <c r="C135" s="71" t="s">
        <v>15</v>
      </c>
      <c r="D135" s="72">
        <v>5116150</v>
      </c>
      <c r="E135" s="72" t="s">
        <v>229</v>
      </c>
      <c r="F135" s="35">
        <f t="shared" si="23"/>
        <v>360000</v>
      </c>
      <c r="G135" s="35">
        <v>30000</v>
      </c>
      <c r="H135" s="35">
        <v>30000</v>
      </c>
      <c r="I135" s="35">
        <v>30000</v>
      </c>
      <c r="J135" s="35">
        <v>30000</v>
      </c>
      <c r="K135" s="35">
        <v>30000</v>
      </c>
      <c r="L135" s="35">
        <v>30000</v>
      </c>
      <c r="M135" s="35">
        <v>30000</v>
      </c>
      <c r="N135" s="35">
        <v>30000</v>
      </c>
      <c r="O135" s="35">
        <v>30000</v>
      </c>
      <c r="P135" s="35">
        <v>30000</v>
      </c>
      <c r="Q135" s="35">
        <v>30000</v>
      </c>
      <c r="R135" s="35">
        <v>30000</v>
      </c>
    </row>
    <row r="136" spans="1:18" outlineLevel="1" x14ac:dyDescent="0.3">
      <c r="A136" s="34" t="s">
        <v>232</v>
      </c>
      <c r="B136" s="71" t="s">
        <v>224</v>
      </c>
      <c r="C136" s="71" t="s">
        <v>15</v>
      </c>
      <c r="D136" s="72">
        <v>5116160</v>
      </c>
      <c r="E136" s="72" t="s">
        <v>225</v>
      </c>
      <c r="F136" s="35">
        <f t="shared" si="23"/>
        <v>0</v>
      </c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 outlineLevel="1" x14ac:dyDescent="0.3">
      <c r="A137" s="34" t="s">
        <v>233</v>
      </c>
      <c r="B137" s="71" t="s">
        <v>224</v>
      </c>
      <c r="C137" s="71" t="s">
        <v>15</v>
      </c>
      <c r="D137" s="72">
        <v>5116111</v>
      </c>
      <c r="E137" s="72" t="s">
        <v>225</v>
      </c>
      <c r="F137" s="35">
        <f t="shared" si="23"/>
        <v>120000</v>
      </c>
      <c r="G137" s="35">
        <v>10000</v>
      </c>
      <c r="H137" s="35">
        <v>10000</v>
      </c>
      <c r="I137" s="35">
        <v>10000</v>
      </c>
      <c r="J137" s="35">
        <v>10000</v>
      </c>
      <c r="K137" s="35">
        <v>10000</v>
      </c>
      <c r="L137" s="35">
        <v>10000</v>
      </c>
      <c r="M137" s="35">
        <v>10000</v>
      </c>
      <c r="N137" s="35">
        <v>10000</v>
      </c>
      <c r="O137" s="35">
        <v>10000</v>
      </c>
      <c r="P137" s="35">
        <v>10000</v>
      </c>
      <c r="Q137" s="35">
        <v>10000</v>
      </c>
      <c r="R137" s="35">
        <v>10000</v>
      </c>
    </row>
    <row r="138" spans="1:18" x14ac:dyDescent="0.3">
      <c r="A138" s="26" t="s">
        <v>234</v>
      </c>
      <c r="B138" s="73" t="s">
        <v>7</v>
      </c>
      <c r="C138" s="73"/>
      <c r="D138" s="74"/>
      <c r="E138" s="74"/>
      <c r="F138" s="29">
        <f t="shared" ref="F138:R138" si="24">F139</f>
        <v>0</v>
      </c>
      <c r="G138" s="29">
        <f t="shared" si="24"/>
        <v>0</v>
      </c>
      <c r="H138" s="29">
        <f t="shared" si="24"/>
        <v>0</v>
      </c>
      <c r="I138" s="29">
        <f t="shared" si="24"/>
        <v>0</v>
      </c>
      <c r="J138" s="29">
        <f t="shared" si="24"/>
        <v>0</v>
      </c>
      <c r="K138" s="29">
        <f t="shared" si="24"/>
        <v>0</v>
      </c>
      <c r="L138" s="29">
        <f t="shared" si="24"/>
        <v>0</v>
      </c>
      <c r="M138" s="29">
        <f t="shared" si="24"/>
        <v>0</v>
      </c>
      <c r="N138" s="29">
        <f t="shared" si="24"/>
        <v>0</v>
      </c>
      <c r="O138" s="29">
        <f t="shared" si="24"/>
        <v>0</v>
      </c>
      <c r="P138" s="29">
        <f t="shared" si="24"/>
        <v>0</v>
      </c>
      <c r="Q138" s="29">
        <f t="shared" si="24"/>
        <v>0</v>
      </c>
      <c r="R138" s="29">
        <f t="shared" si="24"/>
        <v>0</v>
      </c>
    </row>
    <row r="139" spans="1:18" outlineLevel="1" x14ac:dyDescent="0.3">
      <c r="A139" s="34" t="s">
        <v>235</v>
      </c>
      <c r="B139" s="71" t="s">
        <v>236</v>
      </c>
      <c r="C139" s="71" t="s">
        <v>15</v>
      </c>
      <c r="D139" s="72">
        <v>5117110</v>
      </c>
      <c r="E139" s="72" t="s">
        <v>237</v>
      </c>
      <c r="F139" s="35">
        <f>SUM(G139:R139)</f>
        <v>0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</row>
    <row r="140" spans="1:18" x14ac:dyDescent="0.3">
      <c r="A140" s="26" t="s">
        <v>238</v>
      </c>
      <c r="B140" s="73" t="s">
        <v>7</v>
      </c>
      <c r="C140" s="73"/>
      <c r="D140" s="74"/>
      <c r="E140" s="74"/>
      <c r="F140" s="29">
        <f t="shared" ref="F140:R140" si="25">SUM(F141:F145)</f>
        <v>1200000</v>
      </c>
      <c r="G140" s="29">
        <f t="shared" si="25"/>
        <v>0</v>
      </c>
      <c r="H140" s="29">
        <f t="shared" si="25"/>
        <v>0</v>
      </c>
      <c r="I140" s="29">
        <f t="shared" si="25"/>
        <v>300000</v>
      </c>
      <c r="J140" s="29">
        <f t="shared" si="25"/>
        <v>0</v>
      </c>
      <c r="K140" s="29">
        <f t="shared" si="25"/>
        <v>0</v>
      </c>
      <c r="L140" s="29">
        <f t="shared" si="25"/>
        <v>300000</v>
      </c>
      <c r="M140" s="29">
        <f t="shared" si="25"/>
        <v>0</v>
      </c>
      <c r="N140" s="29">
        <f t="shared" si="25"/>
        <v>0</v>
      </c>
      <c r="O140" s="29">
        <f t="shared" si="25"/>
        <v>300000</v>
      </c>
      <c r="P140" s="29">
        <f t="shared" si="25"/>
        <v>0</v>
      </c>
      <c r="Q140" s="29">
        <f t="shared" si="25"/>
        <v>0</v>
      </c>
      <c r="R140" s="29">
        <f t="shared" si="25"/>
        <v>300000</v>
      </c>
    </row>
    <row r="141" spans="1:18" outlineLevel="1" x14ac:dyDescent="0.3">
      <c r="A141" s="34" t="s">
        <v>239</v>
      </c>
      <c r="B141" s="71" t="s">
        <v>240</v>
      </c>
      <c r="C141" s="71" t="s">
        <v>15</v>
      </c>
      <c r="D141" s="72">
        <v>5118110</v>
      </c>
      <c r="E141" s="72" t="s">
        <v>241</v>
      </c>
      <c r="F141" s="35">
        <f>SUM(G141:R141)</f>
        <v>0</v>
      </c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</row>
    <row r="142" spans="1:18" outlineLevel="1" x14ac:dyDescent="0.3">
      <c r="A142" s="34" t="s">
        <v>242</v>
      </c>
      <c r="B142" s="71" t="s">
        <v>243</v>
      </c>
      <c r="C142" s="71" t="s">
        <v>15</v>
      </c>
      <c r="D142" s="72">
        <v>5118120</v>
      </c>
      <c r="E142" s="72" t="s">
        <v>244</v>
      </c>
      <c r="F142" s="35">
        <f>SUM(G142:R142)</f>
        <v>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</row>
    <row r="143" spans="1:18" outlineLevel="1" x14ac:dyDescent="0.3">
      <c r="A143" s="34" t="s">
        <v>245</v>
      </c>
      <c r="B143" s="71" t="s">
        <v>246</v>
      </c>
      <c r="C143" s="71" t="s">
        <v>15</v>
      </c>
      <c r="D143" s="72">
        <v>5118130</v>
      </c>
      <c r="E143" s="72" t="s">
        <v>247</v>
      </c>
      <c r="F143" s="35">
        <f>SUM(G143:R143)</f>
        <v>1200000</v>
      </c>
      <c r="G143" s="35">
        <v>0</v>
      </c>
      <c r="H143" s="35">
        <v>0</v>
      </c>
      <c r="I143" s="35">
        <v>300000</v>
      </c>
      <c r="J143" s="35">
        <v>0</v>
      </c>
      <c r="K143" s="35">
        <v>0</v>
      </c>
      <c r="L143" s="35">
        <v>300000</v>
      </c>
      <c r="M143" s="35">
        <v>0</v>
      </c>
      <c r="N143" s="35">
        <v>0</v>
      </c>
      <c r="O143" s="35">
        <v>300000</v>
      </c>
      <c r="P143" s="35">
        <v>0</v>
      </c>
      <c r="Q143" s="35">
        <v>0</v>
      </c>
      <c r="R143" s="35">
        <v>300000</v>
      </c>
    </row>
    <row r="144" spans="1:18" outlineLevel="1" x14ac:dyDescent="0.3">
      <c r="A144" s="34" t="s">
        <v>248</v>
      </c>
      <c r="B144" s="71" t="s">
        <v>7</v>
      </c>
      <c r="C144" s="71" t="s">
        <v>15</v>
      </c>
      <c r="D144" s="72">
        <v>5118140</v>
      </c>
      <c r="E144" s="72" t="s">
        <v>249</v>
      </c>
      <c r="F144" s="35">
        <f>SUM(G144:R144)</f>
        <v>0</v>
      </c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</row>
    <row r="145" spans="1:18" outlineLevel="1" x14ac:dyDescent="0.3">
      <c r="A145" s="34" t="s">
        <v>250</v>
      </c>
      <c r="B145" s="71" t="s">
        <v>7</v>
      </c>
      <c r="C145" s="71" t="s">
        <v>15</v>
      </c>
      <c r="D145" s="72">
        <v>5118150</v>
      </c>
      <c r="E145" s="72" t="s">
        <v>251</v>
      </c>
      <c r="F145" s="35">
        <f>SUM(G145:R145)</f>
        <v>0</v>
      </c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</row>
    <row r="146" spans="1:18" x14ac:dyDescent="0.3">
      <c r="A146" s="26" t="s">
        <v>252</v>
      </c>
      <c r="B146" s="73" t="s">
        <v>7</v>
      </c>
      <c r="C146" s="73"/>
      <c r="D146" s="74"/>
      <c r="E146" s="74"/>
      <c r="F146" s="29">
        <f t="shared" ref="F146:R146" si="26">SUM(F147:F148)</f>
        <v>864000</v>
      </c>
      <c r="G146" s="29">
        <f t="shared" si="26"/>
        <v>72000</v>
      </c>
      <c r="H146" s="29">
        <f t="shared" si="26"/>
        <v>72000</v>
      </c>
      <c r="I146" s="29">
        <f t="shared" si="26"/>
        <v>72000</v>
      </c>
      <c r="J146" s="29">
        <f t="shared" si="26"/>
        <v>72000</v>
      </c>
      <c r="K146" s="29">
        <f t="shared" si="26"/>
        <v>72000</v>
      </c>
      <c r="L146" s="29">
        <f t="shared" si="26"/>
        <v>72000</v>
      </c>
      <c r="M146" s="29">
        <f t="shared" si="26"/>
        <v>72000</v>
      </c>
      <c r="N146" s="29">
        <f t="shared" si="26"/>
        <v>72000</v>
      </c>
      <c r="O146" s="29">
        <f t="shared" si="26"/>
        <v>72000</v>
      </c>
      <c r="P146" s="29">
        <f t="shared" si="26"/>
        <v>72000</v>
      </c>
      <c r="Q146" s="29">
        <f t="shared" si="26"/>
        <v>72000</v>
      </c>
      <c r="R146" s="29">
        <f t="shared" si="26"/>
        <v>72000</v>
      </c>
    </row>
    <row r="147" spans="1:18" outlineLevel="1" x14ac:dyDescent="0.3">
      <c r="A147" s="34" t="s">
        <v>253</v>
      </c>
      <c r="B147" s="71" t="s">
        <v>254</v>
      </c>
      <c r="C147" s="71" t="s">
        <v>15</v>
      </c>
      <c r="D147" s="72">
        <v>5130110</v>
      </c>
      <c r="E147" s="72" t="s">
        <v>249</v>
      </c>
      <c r="F147" s="35">
        <f>SUM(G147:R147)</f>
        <v>0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</row>
    <row r="148" spans="1:18" outlineLevel="1" x14ac:dyDescent="0.3">
      <c r="A148" s="34" t="s">
        <v>255</v>
      </c>
      <c r="B148" s="71" t="s">
        <v>256</v>
      </c>
      <c r="C148" s="71" t="s">
        <v>15</v>
      </c>
      <c r="D148" s="72">
        <v>5130120</v>
      </c>
      <c r="E148" s="72" t="s">
        <v>251</v>
      </c>
      <c r="F148" s="35">
        <f>SUM(G148:R148)</f>
        <v>864000</v>
      </c>
      <c r="G148" s="35">
        <v>72000</v>
      </c>
      <c r="H148" s="35">
        <v>72000</v>
      </c>
      <c r="I148" s="35">
        <v>72000</v>
      </c>
      <c r="J148" s="35">
        <v>72000</v>
      </c>
      <c r="K148" s="35">
        <v>72000</v>
      </c>
      <c r="L148" s="35">
        <v>72000</v>
      </c>
      <c r="M148" s="35">
        <v>72000</v>
      </c>
      <c r="N148" s="35">
        <v>72000</v>
      </c>
      <c r="O148" s="35">
        <v>72000</v>
      </c>
      <c r="P148" s="35">
        <v>72000</v>
      </c>
      <c r="Q148" s="35">
        <v>72000</v>
      </c>
      <c r="R148" s="35">
        <v>72000</v>
      </c>
    </row>
    <row r="149" spans="1:18" x14ac:dyDescent="0.3">
      <c r="A149" s="26" t="s">
        <v>257</v>
      </c>
      <c r="B149" s="73" t="s">
        <v>7</v>
      </c>
      <c r="C149" s="73"/>
      <c r="D149" s="74"/>
      <c r="E149" s="74"/>
      <c r="F149" s="29">
        <f t="shared" ref="F149:R149" si="27">SUM(F150:F157)</f>
        <v>2300000</v>
      </c>
      <c r="G149" s="29">
        <f t="shared" si="27"/>
        <v>225000</v>
      </c>
      <c r="H149" s="29">
        <f t="shared" si="27"/>
        <v>225000</v>
      </c>
      <c r="I149" s="29">
        <f t="shared" si="27"/>
        <v>125000</v>
      </c>
      <c r="J149" s="29">
        <f t="shared" si="27"/>
        <v>225000</v>
      </c>
      <c r="K149" s="29">
        <f t="shared" si="27"/>
        <v>225000</v>
      </c>
      <c r="L149" s="29">
        <f t="shared" si="27"/>
        <v>125000</v>
      </c>
      <c r="M149" s="29">
        <f t="shared" si="27"/>
        <v>225000</v>
      </c>
      <c r="N149" s="29">
        <f t="shared" si="27"/>
        <v>225000</v>
      </c>
      <c r="O149" s="29">
        <f t="shared" si="27"/>
        <v>125000</v>
      </c>
      <c r="P149" s="29">
        <f t="shared" si="27"/>
        <v>225000</v>
      </c>
      <c r="Q149" s="29">
        <f t="shared" si="27"/>
        <v>225000</v>
      </c>
      <c r="R149" s="29">
        <f t="shared" si="27"/>
        <v>125000</v>
      </c>
    </row>
    <row r="150" spans="1:18" outlineLevel="1" x14ac:dyDescent="0.3">
      <c r="A150" s="34" t="s">
        <v>258</v>
      </c>
      <c r="B150" s="71" t="s">
        <v>259</v>
      </c>
      <c r="C150" s="71" t="s">
        <v>15</v>
      </c>
      <c r="D150" s="72">
        <v>5119110</v>
      </c>
      <c r="E150" s="72" t="s">
        <v>260</v>
      </c>
      <c r="F150" s="35">
        <f t="shared" ref="F150:F157" si="28">SUM(G150:R150)</f>
        <v>0</v>
      </c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</row>
    <row r="151" spans="1:18" outlineLevel="1" x14ac:dyDescent="0.3">
      <c r="A151" s="34" t="s">
        <v>261</v>
      </c>
      <c r="B151" s="71" t="s">
        <v>262</v>
      </c>
      <c r="C151" s="71" t="s">
        <v>15</v>
      </c>
      <c r="D151" s="72">
        <v>5119120</v>
      </c>
      <c r="E151" s="72" t="s">
        <v>263</v>
      </c>
      <c r="F151" s="35">
        <f t="shared" si="28"/>
        <v>0</v>
      </c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</row>
    <row r="152" spans="1:18" outlineLevel="1" x14ac:dyDescent="0.3">
      <c r="A152" s="34" t="s">
        <v>264</v>
      </c>
      <c r="B152" s="71" t="s">
        <v>265</v>
      </c>
      <c r="C152" s="71" t="s">
        <v>15</v>
      </c>
      <c r="D152" s="72">
        <v>5119130</v>
      </c>
      <c r="E152" s="72" t="s">
        <v>266</v>
      </c>
      <c r="F152" s="35">
        <f t="shared" si="28"/>
        <v>0</v>
      </c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1:18" outlineLevel="1" x14ac:dyDescent="0.3">
      <c r="A153" s="34" t="s">
        <v>267</v>
      </c>
      <c r="B153" s="71" t="s">
        <v>268</v>
      </c>
      <c r="C153" s="71" t="s">
        <v>15</v>
      </c>
      <c r="D153" s="72">
        <v>5119140</v>
      </c>
      <c r="E153" s="72" t="s">
        <v>269</v>
      </c>
      <c r="F153" s="35">
        <f t="shared" si="28"/>
        <v>0</v>
      </c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</row>
    <row r="154" spans="1:18" outlineLevel="1" x14ac:dyDescent="0.3">
      <c r="A154" s="34" t="s">
        <v>270</v>
      </c>
      <c r="B154" s="71" t="s">
        <v>271</v>
      </c>
      <c r="C154" s="71" t="s">
        <v>15</v>
      </c>
      <c r="D154" s="72">
        <v>5119150</v>
      </c>
      <c r="E154" s="72" t="s">
        <v>272</v>
      </c>
      <c r="F154" s="35">
        <f t="shared" si="28"/>
        <v>2000000</v>
      </c>
      <c r="G154" s="35">
        <v>200000</v>
      </c>
      <c r="H154" s="35">
        <v>200000</v>
      </c>
      <c r="I154" s="35">
        <v>100000</v>
      </c>
      <c r="J154" s="35">
        <v>200000</v>
      </c>
      <c r="K154" s="35">
        <v>200000</v>
      </c>
      <c r="L154" s="35">
        <v>100000</v>
      </c>
      <c r="M154" s="35">
        <v>200000</v>
      </c>
      <c r="N154" s="35">
        <v>200000</v>
      </c>
      <c r="O154" s="35">
        <v>100000</v>
      </c>
      <c r="P154" s="35">
        <v>200000</v>
      </c>
      <c r="Q154" s="35">
        <v>200000</v>
      </c>
      <c r="R154" s="35">
        <v>100000</v>
      </c>
    </row>
    <row r="155" spans="1:18" outlineLevel="1" x14ac:dyDescent="0.3">
      <c r="A155" s="34" t="s">
        <v>273</v>
      </c>
      <c r="B155" s="71" t="s">
        <v>274</v>
      </c>
      <c r="C155" s="71" t="s">
        <v>15</v>
      </c>
      <c r="D155" s="72">
        <v>5119160</v>
      </c>
      <c r="E155" s="72" t="s">
        <v>275</v>
      </c>
      <c r="F155" s="35">
        <f t="shared" si="28"/>
        <v>0</v>
      </c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</row>
    <row r="156" spans="1:18" outlineLevel="1" x14ac:dyDescent="0.3">
      <c r="A156" s="34" t="s">
        <v>276</v>
      </c>
      <c r="B156" s="71" t="s">
        <v>276</v>
      </c>
      <c r="C156" s="71" t="s">
        <v>15</v>
      </c>
      <c r="D156" s="72">
        <v>5119121</v>
      </c>
      <c r="E156" s="72" t="s">
        <v>277</v>
      </c>
      <c r="F156" s="35">
        <f t="shared" si="28"/>
        <v>300000</v>
      </c>
      <c r="G156" s="35">
        <v>25000</v>
      </c>
      <c r="H156" s="35">
        <v>25000</v>
      </c>
      <c r="I156" s="35">
        <v>25000</v>
      </c>
      <c r="J156" s="35">
        <v>25000</v>
      </c>
      <c r="K156" s="35">
        <v>25000</v>
      </c>
      <c r="L156" s="35">
        <v>25000</v>
      </c>
      <c r="M156" s="35">
        <v>25000</v>
      </c>
      <c r="N156" s="35">
        <v>25000</v>
      </c>
      <c r="O156" s="35">
        <v>25000</v>
      </c>
      <c r="P156" s="35">
        <v>25000</v>
      </c>
      <c r="Q156" s="35">
        <v>25000</v>
      </c>
      <c r="R156" s="35">
        <v>25000</v>
      </c>
    </row>
    <row r="157" spans="1:18" outlineLevel="1" x14ac:dyDescent="0.3">
      <c r="A157" s="34" t="s">
        <v>278</v>
      </c>
      <c r="B157" s="75" t="s">
        <v>279</v>
      </c>
      <c r="C157" s="75" t="s">
        <v>15</v>
      </c>
      <c r="D157" s="72">
        <v>5119151</v>
      </c>
      <c r="E157" s="72" t="s">
        <v>272</v>
      </c>
      <c r="F157" s="35">
        <f t="shared" si="28"/>
        <v>0</v>
      </c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</row>
    <row r="158" spans="1:18" x14ac:dyDescent="0.3">
      <c r="A158" s="26" t="s">
        <v>280</v>
      </c>
      <c r="B158" s="73" t="s">
        <v>7</v>
      </c>
      <c r="C158" s="73"/>
      <c r="D158" s="74"/>
      <c r="E158" s="74"/>
      <c r="F158" s="29">
        <f t="shared" ref="F158:R158" si="29">SUM(F159:F162)</f>
        <v>60000000</v>
      </c>
      <c r="G158" s="29">
        <f t="shared" si="29"/>
        <v>5000000</v>
      </c>
      <c r="H158" s="29">
        <f t="shared" si="29"/>
        <v>5000000</v>
      </c>
      <c r="I158" s="29">
        <f t="shared" si="29"/>
        <v>5000000</v>
      </c>
      <c r="J158" s="29">
        <f t="shared" si="29"/>
        <v>5000000</v>
      </c>
      <c r="K158" s="29">
        <f t="shared" si="29"/>
        <v>5000000</v>
      </c>
      <c r="L158" s="29">
        <f t="shared" si="29"/>
        <v>5000000</v>
      </c>
      <c r="M158" s="29">
        <f t="shared" si="29"/>
        <v>5000000</v>
      </c>
      <c r="N158" s="29">
        <f t="shared" si="29"/>
        <v>5000000</v>
      </c>
      <c r="O158" s="29">
        <f t="shared" si="29"/>
        <v>5000000</v>
      </c>
      <c r="P158" s="29">
        <f t="shared" si="29"/>
        <v>5000000</v>
      </c>
      <c r="Q158" s="29">
        <f t="shared" si="29"/>
        <v>5000000</v>
      </c>
      <c r="R158" s="29">
        <f t="shared" si="29"/>
        <v>5000000</v>
      </c>
    </row>
    <row r="159" spans="1:18" outlineLevel="1" x14ac:dyDescent="0.3">
      <c r="A159" s="34" t="s">
        <v>281</v>
      </c>
      <c r="B159" s="71" t="s">
        <v>282</v>
      </c>
      <c r="C159" s="71" t="s">
        <v>27</v>
      </c>
      <c r="D159" s="72">
        <v>5120110</v>
      </c>
      <c r="E159" s="72" t="s">
        <v>283</v>
      </c>
      <c r="F159" s="35">
        <f>SUM(G159:R159)</f>
        <v>0</v>
      </c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</row>
    <row r="160" spans="1:18" outlineLevel="1" x14ac:dyDescent="0.3">
      <c r="A160" s="40" t="s">
        <v>284</v>
      </c>
      <c r="B160" s="71" t="s">
        <v>282</v>
      </c>
      <c r="C160" s="71" t="s">
        <v>27</v>
      </c>
      <c r="D160" s="72">
        <v>5120140</v>
      </c>
      <c r="E160" s="72" t="s">
        <v>283</v>
      </c>
      <c r="F160" s="35">
        <f>SUM(G160:R160)</f>
        <v>0</v>
      </c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</row>
    <row r="161" spans="1:18" outlineLevel="1" x14ac:dyDescent="0.3">
      <c r="A161" s="40" t="s">
        <v>285</v>
      </c>
      <c r="B161" s="71" t="s">
        <v>282</v>
      </c>
      <c r="C161" s="71" t="s">
        <v>27</v>
      </c>
      <c r="D161" s="72">
        <v>5120130</v>
      </c>
      <c r="E161" s="72" t="s">
        <v>283</v>
      </c>
      <c r="F161" s="35">
        <f>SUM(G161:R161)</f>
        <v>0</v>
      </c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</row>
    <row r="162" spans="1:18" outlineLevel="1" x14ac:dyDescent="0.3">
      <c r="A162" s="34" t="s">
        <v>286</v>
      </c>
      <c r="B162" s="71" t="s">
        <v>282</v>
      </c>
      <c r="C162" s="71" t="s">
        <v>27</v>
      </c>
      <c r="D162" s="72">
        <v>5120120</v>
      </c>
      <c r="E162" s="72" t="s">
        <v>283</v>
      </c>
      <c r="F162" s="35">
        <f>SUM(G162:R162)</f>
        <v>60000000</v>
      </c>
      <c r="G162" s="35">
        <v>5000000</v>
      </c>
      <c r="H162" s="35">
        <v>5000000</v>
      </c>
      <c r="I162" s="35">
        <v>5000000</v>
      </c>
      <c r="J162" s="35">
        <v>5000000</v>
      </c>
      <c r="K162" s="35">
        <v>5000000</v>
      </c>
      <c r="L162" s="35">
        <v>5000000</v>
      </c>
      <c r="M162" s="35">
        <v>5000000</v>
      </c>
      <c r="N162" s="35">
        <v>5000000</v>
      </c>
      <c r="O162" s="35">
        <v>5000000</v>
      </c>
      <c r="P162" s="35">
        <v>5000000</v>
      </c>
      <c r="Q162" s="35">
        <v>5000000</v>
      </c>
      <c r="R162" s="35">
        <v>5000000</v>
      </c>
    </row>
    <row r="163" spans="1:18" x14ac:dyDescent="0.3">
      <c r="A163" s="26" t="s">
        <v>287</v>
      </c>
      <c r="B163" s="73" t="s">
        <v>7</v>
      </c>
      <c r="C163" s="73"/>
      <c r="D163" s="74"/>
      <c r="E163" s="74"/>
      <c r="F163" s="29">
        <f t="shared" ref="F163:R163" si="30">SUM(F164:F167)</f>
        <v>2400000</v>
      </c>
      <c r="G163" s="29">
        <f t="shared" si="30"/>
        <v>0</v>
      </c>
      <c r="H163" s="29">
        <f t="shared" si="30"/>
        <v>0</v>
      </c>
      <c r="I163" s="29">
        <f t="shared" si="30"/>
        <v>600000</v>
      </c>
      <c r="J163" s="29">
        <f t="shared" si="30"/>
        <v>0</v>
      </c>
      <c r="K163" s="29">
        <f t="shared" si="30"/>
        <v>0</v>
      </c>
      <c r="L163" s="29">
        <f t="shared" si="30"/>
        <v>600000</v>
      </c>
      <c r="M163" s="29">
        <f t="shared" si="30"/>
        <v>0</v>
      </c>
      <c r="N163" s="29">
        <f t="shared" si="30"/>
        <v>0</v>
      </c>
      <c r="O163" s="29">
        <f t="shared" si="30"/>
        <v>600000</v>
      </c>
      <c r="P163" s="29">
        <f t="shared" si="30"/>
        <v>0</v>
      </c>
      <c r="Q163" s="29">
        <f t="shared" si="30"/>
        <v>0</v>
      </c>
      <c r="R163" s="29">
        <f t="shared" si="30"/>
        <v>600000</v>
      </c>
    </row>
    <row r="164" spans="1:18" outlineLevel="1" x14ac:dyDescent="0.3">
      <c r="A164" s="34" t="s">
        <v>288</v>
      </c>
      <c r="B164" s="71" t="s">
        <v>288</v>
      </c>
      <c r="C164" s="71" t="s">
        <v>15</v>
      </c>
      <c r="D164" s="72">
        <v>5121110</v>
      </c>
      <c r="E164" s="72" t="s">
        <v>289</v>
      </c>
      <c r="F164" s="35">
        <f>SUM(G164:R164)</f>
        <v>1200000</v>
      </c>
      <c r="G164" s="35">
        <v>0</v>
      </c>
      <c r="H164" s="35">
        <v>0</v>
      </c>
      <c r="I164" s="35">
        <v>300000</v>
      </c>
      <c r="J164" s="35">
        <v>0</v>
      </c>
      <c r="K164" s="35">
        <v>0</v>
      </c>
      <c r="L164" s="35">
        <v>300000</v>
      </c>
      <c r="M164" s="35">
        <v>0</v>
      </c>
      <c r="N164" s="35">
        <v>0</v>
      </c>
      <c r="O164" s="35">
        <v>300000</v>
      </c>
      <c r="P164" s="35">
        <v>0</v>
      </c>
      <c r="Q164" s="35">
        <v>0</v>
      </c>
      <c r="R164" s="35">
        <v>300000</v>
      </c>
    </row>
    <row r="165" spans="1:18" outlineLevel="1" x14ac:dyDescent="0.3">
      <c r="A165" s="34" t="s">
        <v>290</v>
      </c>
      <c r="B165" s="71" t="s">
        <v>290</v>
      </c>
      <c r="C165" s="71" t="s">
        <v>15</v>
      </c>
      <c r="D165" s="72">
        <v>5121120</v>
      </c>
      <c r="E165" s="72" t="s">
        <v>291</v>
      </c>
      <c r="F165" s="35">
        <f>SUM(G165:R165)</f>
        <v>0</v>
      </c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</row>
    <row r="166" spans="1:18" outlineLevel="1" x14ac:dyDescent="0.3">
      <c r="A166" s="34" t="s">
        <v>292</v>
      </c>
      <c r="B166" s="71" t="s">
        <v>292</v>
      </c>
      <c r="C166" s="71" t="s">
        <v>27</v>
      </c>
      <c r="D166" s="72">
        <v>5121140</v>
      </c>
      <c r="E166" s="72" t="s">
        <v>293</v>
      </c>
      <c r="F166" s="35">
        <f>SUM(G166:R166)</f>
        <v>0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</row>
    <row r="167" spans="1:18" outlineLevel="1" x14ac:dyDescent="0.3">
      <c r="A167" s="34" t="s">
        <v>294</v>
      </c>
      <c r="B167" s="71" t="s">
        <v>295</v>
      </c>
      <c r="C167" s="71" t="s">
        <v>15</v>
      </c>
      <c r="D167" s="72">
        <v>5121150</v>
      </c>
      <c r="E167" s="72" t="s">
        <v>296</v>
      </c>
      <c r="F167" s="35">
        <f>SUM(G167:R167)</f>
        <v>1200000</v>
      </c>
      <c r="G167" s="35">
        <v>0</v>
      </c>
      <c r="H167" s="35">
        <v>0</v>
      </c>
      <c r="I167" s="35">
        <v>300000</v>
      </c>
      <c r="J167" s="35">
        <v>0</v>
      </c>
      <c r="K167" s="35">
        <v>0</v>
      </c>
      <c r="L167" s="35">
        <v>300000</v>
      </c>
      <c r="M167" s="35">
        <v>0</v>
      </c>
      <c r="N167" s="35">
        <v>0</v>
      </c>
      <c r="O167" s="35">
        <v>300000</v>
      </c>
      <c r="P167" s="35">
        <v>0</v>
      </c>
      <c r="Q167" s="35">
        <v>0</v>
      </c>
      <c r="R167" s="35">
        <v>300000</v>
      </c>
    </row>
    <row r="168" spans="1:18" x14ac:dyDescent="0.3">
      <c r="A168" s="26" t="s">
        <v>297</v>
      </c>
      <c r="B168" s="73" t="s">
        <v>7</v>
      </c>
      <c r="C168" s="73"/>
      <c r="D168" s="74"/>
      <c r="E168" s="74"/>
      <c r="F168" s="29">
        <f t="shared" ref="F168:R168" si="31">SUM(F169:F172)</f>
        <v>1158576095</v>
      </c>
      <c r="G168" s="29">
        <f t="shared" si="31"/>
        <v>139778585</v>
      </c>
      <c r="H168" s="29">
        <f t="shared" si="31"/>
        <v>205063410</v>
      </c>
      <c r="I168" s="29">
        <f t="shared" si="31"/>
        <v>93353410</v>
      </c>
      <c r="J168" s="29">
        <f t="shared" si="31"/>
        <v>93553410</v>
      </c>
      <c r="K168" s="29">
        <f t="shared" si="31"/>
        <v>73353410</v>
      </c>
      <c r="L168" s="29">
        <f t="shared" si="31"/>
        <v>73353410</v>
      </c>
      <c r="M168" s="29">
        <f t="shared" si="31"/>
        <v>93353410</v>
      </c>
      <c r="N168" s="29">
        <f t="shared" si="31"/>
        <v>73353410</v>
      </c>
      <c r="O168" s="29">
        <f t="shared" si="31"/>
        <v>73353410</v>
      </c>
      <c r="P168" s="29">
        <f t="shared" si="31"/>
        <v>93353410</v>
      </c>
      <c r="Q168" s="29">
        <f t="shared" si="31"/>
        <v>73353410</v>
      </c>
      <c r="R168" s="29">
        <f t="shared" si="31"/>
        <v>73353410</v>
      </c>
    </row>
    <row r="169" spans="1:18" outlineLevel="1" x14ac:dyDescent="0.3">
      <c r="A169" s="34" t="s">
        <v>298</v>
      </c>
      <c r="B169" s="71" t="s">
        <v>299</v>
      </c>
      <c r="C169" s="71" t="s">
        <v>27</v>
      </c>
      <c r="D169" s="72">
        <v>5122110</v>
      </c>
      <c r="E169" s="72" t="s">
        <v>300</v>
      </c>
      <c r="F169" s="35">
        <f>SUM(G169:R169)</f>
        <v>0</v>
      </c>
      <c r="G169" s="35">
        <v>0</v>
      </c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</row>
    <row r="170" spans="1:18" outlineLevel="1" x14ac:dyDescent="0.3">
      <c r="A170" s="34" t="s">
        <v>301</v>
      </c>
      <c r="B170" s="71" t="s">
        <v>302</v>
      </c>
      <c r="C170" s="71" t="s">
        <v>15</v>
      </c>
      <c r="D170" s="72">
        <v>5122120</v>
      </c>
      <c r="E170" s="72" t="s">
        <v>303</v>
      </c>
      <c r="F170" s="35">
        <f>SUM(G170:R170)</f>
        <v>522576095</v>
      </c>
      <c r="G170" s="35">
        <f>66425175+20353410</f>
        <v>86778585</v>
      </c>
      <c r="H170" s="35">
        <f>131710000+20353410</f>
        <v>152063410</v>
      </c>
      <c r="I170" s="35">
        <f>20000000+20353410</f>
        <v>40353410</v>
      </c>
      <c r="J170" s="35">
        <f>20000000+20353410+200000</f>
        <v>40553410</v>
      </c>
      <c r="K170" s="35">
        <f>20353410</f>
        <v>20353410</v>
      </c>
      <c r="L170" s="35">
        <f>20353410</f>
        <v>20353410</v>
      </c>
      <c r="M170" s="35">
        <f>20000000+20353410</f>
        <v>40353410</v>
      </c>
      <c r="N170" s="35">
        <f>20353410</f>
        <v>20353410</v>
      </c>
      <c r="O170" s="35">
        <f>20353410</f>
        <v>20353410</v>
      </c>
      <c r="P170" s="35">
        <f>20000000+20353410</f>
        <v>40353410</v>
      </c>
      <c r="Q170" s="35">
        <f>20353410</f>
        <v>20353410</v>
      </c>
      <c r="R170" s="35">
        <f>20353410</f>
        <v>20353410</v>
      </c>
    </row>
    <row r="171" spans="1:18" outlineLevel="1" x14ac:dyDescent="0.3">
      <c r="A171" s="40" t="s">
        <v>304</v>
      </c>
      <c r="B171" s="71" t="s">
        <v>305</v>
      </c>
      <c r="C171" s="71" t="s">
        <v>15</v>
      </c>
      <c r="D171" s="72">
        <v>5122130</v>
      </c>
      <c r="E171" s="72" t="s">
        <v>306</v>
      </c>
      <c r="F171" s="35">
        <f>SUM(G171:R171)</f>
        <v>576000000</v>
      </c>
      <c r="G171" s="35">
        <v>48000000</v>
      </c>
      <c r="H171" s="35">
        <v>48000000</v>
      </c>
      <c r="I171" s="35">
        <v>48000000</v>
      </c>
      <c r="J171" s="35">
        <v>48000000</v>
      </c>
      <c r="K171" s="35">
        <v>48000000</v>
      </c>
      <c r="L171" s="35">
        <v>48000000</v>
      </c>
      <c r="M171" s="35">
        <v>48000000</v>
      </c>
      <c r="N171" s="35">
        <v>48000000</v>
      </c>
      <c r="O171" s="35">
        <v>48000000</v>
      </c>
      <c r="P171" s="35">
        <v>48000000</v>
      </c>
      <c r="Q171" s="35">
        <v>48000000</v>
      </c>
      <c r="R171" s="35">
        <v>48000000</v>
      </c>
    </row>
    <row r="172" spans="1:18" outlineLevel="1" x14ac:dyDescent="0.3">
      <c r="A172" s="34" t="s">
        <v>307</v>
      </c>
      <c r="B172" s="71" t="s">
        <v>308</v>
      </c>
      <c r="C172" s="71" t="s">
        <v>15</v>
      </c>
      <c r="D172" s="72">
        <v>5122140</v>
      </c>
      <c r="E172" s="72" t="s">
        <v>309</v>
      </c>
      <c r="F172" s="35">
        <f>SUM(G172:R172)</f>
        <v>60000000</v>
      </c>
      <c r="G172" s="35">
        <v>5000000</v>
      </c>
      <c r="H172" s="35">
        <v>5000000</v>
      </c>
      <c r="I172" s="35">
        <v>5000000</v>
      </c>
      <c r="J172" s="35">
        <v>5000000</v>
      </c>
      <c r="K172" s="35">
        <v>5000000</v>
      </c>
      <c r="L172" s="35">
        <v>5000000</v>
      </c>
      <c r="M172" s="35">
        <v>5000000</v>
      </c>
      <c r="N172" s="35">
        <v>5000000</v>
      </c>
      <c r="O172" s="35">
        <v>5000000</v>
      </c>
      <c r="P172" s="35">
        <v>5000000</v>
      </c>
      <c r="Q172" s="35">
        <v>5000000</v>
      </c>
      <c r="R172" s="35">
        <v>5000000</v>
      </c>
    </row>
    <row r="173" spans="1:18" x14ac:dyDescent="0.3">
      <c r="A173" s="26" t="s">
        <v>310</v>
      </c>
      <c r="B173" s="73" t="s">
        <v>7</v>
      </c>
      <c r="C173" s="73"/>
      <c r="D173" s="74"/>
      <c r="E173" s="74"/>
      <c r="F173" s="29">
        <f t="shared" ref="F173:R173" si="32">SUM(F174:F176)</f>
        <v>0</v>
      </c>
      <c r="G173" s="29">
        <f t="shared" si="32"/>
        <v>0</v>
      </c>
      <c r="H173" s="29">
        <f t="shared" si="32"/>
        <v>0</v>
      </c>
      <c r="I173" s="29">
        <f t="shared" si="32"/>
        <v>0</v>
      </c>
      <c r="J173" s="29">
        <f t="shared" si="32"/>
        <v>0</v>
      </c>
      <c r="K173" s="29">
        <f t="shared" si="32"/>
        <v>0</v>
      </c>
      <c r="L173" s="29">
        <f t="shared" si="32"/>
        <v>0</v>
      </c>
      <c r="M173" s="29">
        <f t="shared" si="32"/>
        <v>0</v>
      </c>
      <c r="N173" s="29">
        <f t="shared" si="32"/>
        <v>0</v>
      </c>
      <c r="O173" s="29">
        <f t="shared" si="32"/>
        <v>0</v>
      </c>
      <c r="P173" s="29">
        <f t="shared" si="32"/>
        <v>0</v>
      </c>
      <c r="Q173" s="29">
        <f t="shared" si="32"/>
        <v>0</v>
      </c>
      <c r="R173" s="29">
        <f t="shared" si="32"/>
        <v>0</v>
      </c>
    </row>
    <row r="174" spans="1:18" outlineLevel="1" x14ac:dyDescent="0.3">
      <c r="A174" s="34" t="s">
        <v>311</v>
      </c>
      <c r="B174" s="71" t="s">
        <v>312</v>
      </c>
      <c r="C174" s="71" t="s">
        <v>15</v>
      </c>
      <c r="D174" s="72">
        <v>5123110</v>
      </c>
      <c r="E174" s="72" t="s">
        <v>313</v>
      </c>
      <c r="F174" s="35">
        <f>SUM(G174:R174)</f>
        <v>0</v>
      </c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</row>
    <row r="175" spans="1:18" outlineLevel="1" x14ac:dyDescent="0.3">
      <c r="A175" s="34" t="s">
        <v>314</v>
      </c>
      <c r="B175" s="71" t="s">
        <v>315</v>
      </c>
      <c r="C175" s="71" t="s">
        <v>15</v>
      </c>
      <c r="D175" s="72">
        <v>5123120</v>
      </c>
      <c r="E175" s="72" t="s">
        <v>316</v>
      </c>
      <c r="F175" s="35">
        <f>SUM(G175:R175)</f>
        <v>0</v>
      </c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</row>
    <row r="176" spans="1:18" outlineLevel="1" x14ac:dyDescent="0.3">
      <c r="A176" s="57" t="s">
        <v>317</v>
      </c>
      <c r="B176" s="83" t="s">
        <v>318</v>
      </c>
      <c r="C176" s="83" t="s">
        <v>15</v>
      </c>
      <c r="D176" s="84">
        <v>5123130</v>
      </c>
      <c r="E176" s="84" t="s">
        <v>319</v>
      </c>
      <c r="F176" s="60">
        <f>SUM(G176:R176)</f>
        <v>0</v>
      </c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F49A-4EAE-4DAE-BA12-CED691D9CDFD}">
  <sheetPr>
    <tabColor theme="9"/>
  </sheetPr>
  <dimension ref="A1:R176"/>
  <sheetViews>
    <sheetView zoomScale="85" zoomScaleNormal="85" workbookViewId="0">
      <pane xSplit="5" ySplit="4" topLeftCell="F20" activePane="bottomRight" state="frozen"/>
      <selection activeCell="BF17" sqref="BF17"/>
      <selection pane="topRight" activeCell="BF17" sqref="BF17"/>
      <selection pane="bottomLeft" activeCell="BF17" sqref="BF17"/>
      <selection pane="bottomRight" activeCell="G34" sqref="G34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875" style="66" customWidth="1" outlineLevel="1"/>
    <col min="4" max="4" width="9.25" style="67" customWidth="1" outlineLevel="1"/>
    <col min="5" max="5" width="13.25" style="67" customWidth="1" outlineLevel="1"/>
    <col min="6" max="6" width="14.25" style="66" bestFit="1" customWidth="1"/>
    <col min="7" max="7" width="14.25" style="66" bestFit="1" customWidth="1" outlineLevel="1"/>
    <col min="8" max="8" width="14.25" style="66" customWidth="1" outlineLevel="1"/>
    <col min="9" max="9" width="14.25" style="66" bestFit="1" customWidth="1" outlineLevel="1"/>
    <col min="10" max="18" width="14.25" style="66" customWidth="1" outlineLevel="1"/>
    <col min="19" max="16384" width="9" style="66"/>
  </cols>
  <sheetData>
    <row r="1" spans="1:18" x14ac:dyDescent="0.3">
      <c r="A1" s="89" t="s">
        <v>330</v>
      </c>
      <c r="G1" s="90"/>
    </row>
    <row r="2" spans="1:18" x14ac:dyDescent="0.3">
      <c r="A2" s="66" t="s">
        <v>0</v>
      </c>
    </row>
    <row r="3" spans="1:18" x14ac:dyDescent="0.3">
      <c r="A3" s="66" t="s">
        <v>331</v>
      </c>
    </row>
    <row r="4" spans="1:18" x14ac:dyDescent="0.3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>
        <v>2026.1</v>
      </c>
      <c r="Q4" s="12">
        <v>2026.11</v>
      </c>
      <c r="R4" s="12">
        <v>2026.12</v>
      </c>
    </row>
    <row r="5" spans="1:18" x14ac:dyDescent="0.3">
      <c r="A5" s="13" t="s">
        <v>6</v>
      </c>
      <c r="B5" s="69" t="s">
        <v>7</v>
      </c>
      <c r="C5" s="69"/>
      <c r="D5" s="70"/>
      <c r="E5" s="70"/>
      <c r="F5" s="43"/>
      <c r="G5" s="43"/>
      <c r="H5" s="43"/>
      <c r="I5" s="43"/>
      <c r="J5" s="45"/>
      <c r="K5" s="45"/>
      <c r="L5" s="45"/>
      <c r="M5" s="45"/>
      <c r="N5" s="45"/>
      <c r="O5" s="45"/>
      <c r="P5" s="45"/>
      <c r="Q5" s="45"/>
      <c r="R5" s="45"/>
    </row>
    <row r="6" spans="1:18" x14ac:dyDescent="0.3">
      <c r="A6" s="18" t="s">
        <v>8</v>
      </c>
      <c r="B6" s="71" t="s">
        <v>7</v>
      </c>
      <c r="C6" s="71"/>
      <c r="D6" s="72"/>
      <c r="E6" s="72"/>
      <c r="F6" s="35"/>
      <c r="G6" s="35"/>
      <c r="H6" s="35"/>
      <c r="I6" s="35"/>
      <c r="J6" s="53"/>
      <c r="K6" s="53"/>
      <c r="L6" s="53"/>
      <c r="M6" s="53"/>
      <c r="N6" s="53"/>
      <c r="O6" s="53"/>
      <c r="P6" s="53"/>
      <c r="Q6" s="53"/>
      <c r="R6" s="53"/>
    </row>
    <row r="7" spans="1:18" x14ac:dyDescent="0.3">
      <c r="A7" s="13" t="s">
        <v>9</v>
      </c>
      <c r="B7" s="69" t="s">
        <v>7</v>
      </c>
      <c r="C7" s="69"/>
      <c r="D7" s="70"/>
      <c r="E7" s="70"/>
      <c r="F7" s="43"/>
      <c r="G7" s="43"/>
      <c r="H7" s="43"/>
      <c r="I7" s="43"/>
      <c r="J7" s="45"/>
      <c r="K7" s="45"/>
      <c r="L7" s="45"/>
      <c r="M7" s="45"/>
      <c r="N7" s="45"/>
      <c r="O7" s="45"/>
      <c r="P7" s="45"/>
      <c r="Q7" s="45"/>
      <c r="R7" s="45"/>
    </row>
    <row r="8" spans="1:18" x14ac:dyDescent="0.3">
      <c r="A8" s="18" t="s">
        <v>10</v>
      </c>
      <c r="B8" s="71" t="s">
        <v>7</v>
      </c>
      <c r="C8" s="71"/>
      <c r="D8" s="72"/>
      <c r="E8" s="72"/>
      <c r="F8" s="35"/>
      <c r="G8" s="35"/>
      <c r="H8" s="35"/>
      <c r="I8" s="35"/>
      <c r="J8" s="53"/>
      <c r="K8" s="53"/>
      <c r="L8" s="53"/>
      <c r="M8" s="53"/>
      <c r="N8" s="53"/>
      <c r="O8" s="53"/>
      <c r="P8" s="53"/>
      <c r="Q8" s="53"/>
      <c r="R8" s="53"/>
    </row>
    <row r="9" spans="1:18" x14ac:dyDescent="0.3">
      <c r="A9" s="13" t="s">
        <v>11</v>
      </c>
      <c r="B9" s="69" t="s">
        <v>7</v>
      </c>
      <c r="C9" s="69"/>
      <c r="D9" s="70"/>
      <c r="E9" s="70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3">
      <c r="A10" s="26" t="s">
        <v>12</v>
      </c>
      <c r="B10" s="73" t="s">
        <v>7</v>
      </c>
      <c r="C10" s="73"/>
      <c r="D10" s="74"/>
      <c r="E10" s="74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outlineLevel="1" x14ac:dyDescent="0.3">
      <c r="A11" s="34" t="s">
        <v>13</v>
      </c>
      <c r="B11" s="71" t="s">
        <v>14</v>
      </c>
      <c r="C11" s="71" t="s">
        <v>15</v>
      </c>
      <c r="D11" s="72">
        <v>5102110</v>
      </c>
      <c r="E11" s="72" t="s">
        <v>16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outlineLevel="1" x14ac:dyDescent="0.3">
      <c r="A12" s="34" t="s">
        <v>17</v>
      </c>
      <c r="B12" s="71" t="s">
        <v>18</v>
      </c>
      <c r="C12" s="71" t="s">
        <v>15</v>
      </c>
      <c r="D12" s="72">
        <v>5102120</v>
      </c>
      <c r="E12" s="72" t="s">
        <v>19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x14ac:dyDescent="0.3">
      <c r="A13" s="26" t="s">
        <v>20</v>
      </c>
      <c r="B13" s="73" t="s">
        <v>7</v>
      </c>
      <c r="C13" s="73"/>
      <c r="D13" s="74" t="s">
        <v>21</v>
      </c>
      <c r="E13" s="7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outlineLevel="1" x14ac:dyDescent="0.3">
      <c r="A14" s="40" t="s">
        <v>22</v>
      </c>
      <c r="B14" s="71" t="s">
        <v>14</v>
      </c>
      <c r="C14" s="71" t="s">
        <v>15</v>
      </c>
      <c r="D14" s="72">
        <v>5102210</v>
      </c>
      <c r="E14" s="72" t="s">
        <v>16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outlineLevel="1" x14ac:dyDescent="0.3">
      <c r="A15" s="34" t="s">
        <v>23</v>
      </c>
      <c r="B15" s="71" t="s">
        <v>18</v>
      </c>
      <c r="C15" s="71" t="s">
        <v>15</v>
      </c>
      <c r="D15" s="72">
        <v>5102220</v>
      </c>
      <c r="E15" s="72" t="s">
        <v>19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outlineLevel="1" x14ac:dyDescent="0.3">
      <c r="A16" s="34" t="s">
        <v>24</v>
      </c>
      <c r="B16" s="71" t="s">
        <v>14</v>
      </c>
      <c r="C16" s="71" t="s">
        <v>15</v>
      </c>
      <c r="D16" s="72">
        <v>5102230</v>
      </c>
      <c r="E16" s="72" t="s">
        <v>16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outlineLevel="1" x14ac:dyDescent="0.3">
      <c r="A17" s="34" t="s">
        <v>25</v>
      </c>
      <c r="B17" s="71" t="s">
        <v>26</v>
      </c>
      <c r="C17" s="71" t="s">
        <v>27</v>
      </c>
      <c r="D17" s="72">
        <v>5102240</v>
      </c>
      <c r="E17" s="72" t="s">
        <v>28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outlineLevel="1" x14ac:dyDescent="0.3">
      <c r="A18" s="34" t="s">
        <v>29</v>
      </c>
      <c r="B18" s="71" t="s">
        <v>14</v>
      </c>
      <c r="C18" s="71" t="s">
        <v>15</v>
      </c>
      <c r="D18" s="72">
        <v>5102250</v>
      </c>
      <c r="E18" s="72" t="s">
        <v>16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outlineLevel="1" x14ac:dyDescent="0.3">
      <c r="A19" s="34" t="s">
        <v>30</v>
      </c>
      <c r="B19" s="71" t="s">
        <v>26</v>
      </c>
      <c r="C19" s="71" t="s">
        <v>15</v>
      </c>
      <c r="D19" s="72">
        <v>5102260</v>
      </c>
      <c r="E19" s="72" t="s">
        <v>28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18" outlineLevel="1" x14ac:dyDescent="0.3">
      <c r="A20" s="34" t="s">
        <v>31</v>
      </c>
      <c r="B20" s="71" t="s">
        <v>14</v>
      </c>
      <c r="C20" s="71" t="s">
        <v>15</v>
      </c>
      <c r="D20" s="72">
        <v>5102280</v>
      </c>
      <c r="E20" s="72" t="s">
        <v>16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outlineLevel="1" x14ac:dyDescent="0.3">
      <c r="A21" s="34" t="s">
        <v>32</v>
      </c>
      <c r="B21" s="71" t="s">
        <v>26</v>
      </c>
      <c r="C21" s="71" t="s">
        <v>15</v>
      </c>
      <c r="D21" s="72">
        <v>5102290</v>
      </c>
      <c r="E21" s="72" t="s">
        <v>28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18" x14ac:dyDescent="0.3">
      <c r="A22" s="26" t="s">
        <v>33</v>
      </c>
      <c r="B22" s="73" t="s">
        <v>7</v>
      </c>
      <c r="C22" s="73"/>
      <c r="D22" s="74" t="s">
        <v>21</v>
      </c>
      <c r="E22" s="7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outlineLevel="1" x14ac:dyDescent="0.3">
      <c r="A23" s="34" t="s">
        <v>34</v>
      </c>
      <c r="B23" s="71" t="s">
        <v>18</v>
      </c>
      <c r="C23" s="71" t="s">
        <v>15</v>
      </c>
      <c r="D23" s="72">
        <v>5102410</v>
      </c>
      <c r="E23" s="72" t="s">
        <v>19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outlineLevel="1" x14ac:dyDescent="0.3">
      <c r="A24" s="34" t="s">
        <v>35</v>
      </c>
      <c r="B24" s="75" t="s">
        <v>7</v>
      </c>
      <c r="C24" s="75" t="s">
        <v>15</v>
      </c>
      <c r="D24" s="72">
        <v>5102420</v>
      </c>
      <c r="E24" s="72" t="s">
        <v>28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outlineLevel="1" x14ac:dyDescent="0.3">
      <c r="A25" s="34" t="s">
        <v>36</v>
      </c>
      <c r="B25" s="75"/>
      <c r="C25" s="75" t="s">
        <v>37</v>
      </c>
      <c r="D25" s="72" t="s">
        <v>38</v>
      </c>
      <c r="E25" s="72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18" x14ac:dyDescent="0.3">
      <c r="A26" s="13" t="s">
        <v>39</v>
      </c>
      <c r="B26" s="69" t="s">
        <v>7</v>
      </c>
      <c r="C26" s="69"/>
      <c r="D26" s="70"/>
      <c r="E26" s="70"/>
      <c r="F26" s="43">
        <f t="shared" ref="F26:R26" si="0">F27+F46+F52+F60+F68+F79+F88+F100+F107+F115+F118+F128+F130+F138+F140+F146+F149+F158+F163+F168+F173</f>
        <v>4619990696</v>
      </c>
      <c r="G26" s="43">
        <f t="shared" si="0"/>
        <v>387970058</v>
      </c>
      <c r="H26" s="43">
        <f t="shared" si="0"/>
        <v>353270058</v>
      </c>
      <c r="I26" s="43">
        <f t="shared" si="0"/>
        <v>501170058</v>
      </c>
      <c r="J26" s="43">
        <f t="shared" si="0"/>
        <v>332670058</v>
      </c>
      <c r="K26" s="43">
        <f t="shared" si="0"/>
        <v>330570058</v>
      </c>
      <c r="L26" s="43">
        <f t="shared" si="0"/>
        <v>407320058</v>
      </c>
      <c r="M26" s="43">
        <f t="shared" si="0"/>
        <v>364520058</v>
      </c>
      <c r="N26" s="43">
        <f t="shared" si="0"/>
        <v>352020058</v>
      </c>
      <c r="O26" s="43">
        <f t="shared" si="0"/>
        <v>423420058</v>
      </c>
      <c r="P26" s="43">
        <f t="shared" si="0"/>
        <v>331020058</v>
      </c>
      <c r="Q26" s="43">
        <f t="shared" si="0"/>
        <v>355770058</v>
      </c>
      <c r="R26" s="43">
        <f t="shared" si="0"/>
        <v>480270058</v>
      </c>
    </row>
    <row r="27" spans="1:18" x14ac:dyDescent="0.3">
      <c r="A27" s="26" t="s">
        <v>40</v>
      </c>
      <c r="B27" s="73" t="s">
        <v>7</v>
      </c>
      <c r="C27" s="73"/>
      <c r="D27" s="74"/>
      <c r="E27" s="74"/>
      <c r="F27" s="29">
        <f t="shared" ref="F27:R27" si="1">SUM(F28:F45)</f>
        <v>63577800</v>
      </c>
      <c r="G27" s="29">
        <f t="shared" si="1"/>
        <v>5298150</v>
      </c>
      <c r="H27" s="29">
        <f t="shared" si="1"/>
        <v>5298150</v>
      </c>
      <c r="I27" s="29">
        <f t="shared" si="1"/>
        <v>5298150</v>
      </c>
      <c r="J27" s="29">
        <f t="shared" si="1"/>
        <v>5298150</v>
      </c>
      <c r="K27" s="29">
        <f t="shared" si="1"/>
        <v>5298150</v>
      </c>
      <c r="L27" s="29">
        <f t="shared" si="1"/>
        <v>5298150</v>
      </c>
      <c r="M27" s="29">
        <f t="shared" si="1"/>
        <v>5298150</v>
      </c>
      <c r="N27" s="29">
        <f t="shared" si="1"/>
        <v>5298150</v>
      </c>
      <c r="O27" s="29">
        <f t="shared" si="1"/>
        <v>5298150</v>
      </c>
      <c r="P27" s="29">
        <f t="shared" si="1"/>
        <v>5298150</v>
      </c>
      <c r="Q27" s="29">
        <f t="shared" si="1"/>
        <v>5298150</v>
      </c>
      <c r="R27" s="29">
        <f t="shared" si="1"/>
        <v>5298150</v>
      </c>
    </row>
    <row r="28" spans="1:18" outlineLevel="1" x14ac:dyDescent="0.3">
      <c r="A28" s="34" t="s">
        <v>41</v>
      </c>
      <c r="B28" s="71" t="s">
        <v>42</v>
      </c>
      <c r="C28" s="71" t="s">
        <v>15</v>
      </c>
      <c r="D28" s="72">
        <v>5103260</v>
      </c>
      <c r="E28" s="72" t="s">
        <v>43</v>
      </c>
      <c r="F28" s="35">
        <f t="shared" ref="F28:F45" si="2">SUM(G28:R28)</f>
        <v>0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 spans="1:18" outlineLevel="1" x14ac:dyDescent="0.3">
      <c r="A29" s="34" t="s">
        <v>44</v>
      </c>
      <c r="B29" s="71" t="s">
        <v>45</v>
      </c>
      <c r="C29" s="71" t="s">
        <v>15</v>
      </c>
      <c r="D29" s="72">
        <v>5103250</v>
      </c>
      <c r="E29" s="72" t="s">
        <v>46</v>
      </c>
      <c r="F29" s="35">
        <f t="shared" si="2"/>
        <v>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 outlineLevel="1" x14ac:dyDescent="0.3">
      <c r="A30" s="34" t="s">
        <v>47</v>
      </c>
      <c r="B30" s="71" t="s">
        <v>48</v>
      </c>
      <c r="C30" s="71" t="s">
        <v>15</v>
      </c>
      <c r="D30" s="72">
        <v>5103240</v>
      </c>
      <c r="E30" s="72" t="s">
        <v>49</v>
      </c>
      <c r="F30" s="35">
        <f t="shared" si="2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 spans="1:18" outlineLevel="1" x14ac:dyDescent="0.3">
      <c r="A31" s="34" t="s">
        <v>50</v>
      </c>
      <c r="B31" s="71" t="s">
        <v>51</v>
      </c>
      <c r="C31" s="71" t="s">
        <v>15</v>
      </c>
      <c r="D31" s="72">
        <v>5103230</v>
      </c>
      <c r="E31" s="72" t="s">
        <v>52</v>
      </c>
      <c r="F31" s="35">
        <f t="shared" si="2"/>
        <v>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 outlineLevel="1" x14ac:dyDescent="0.3">
      <c r="A32" s="34" t="s">
        <v>53</v>
      </c>
      <c r="B32" s="71" t="s">
        <v>54</v>
      </c>
      <c r="C32" s="71" t="s">
        <v>15</v>
      </c>
      <c r="D32" s="72">
        <v>5103220</v>
      </c>
      <c r="E32" s="72" t="s">
        <v>55</v>
      </c>
      <c r="F32" s="35">
        <f t="shared" si="2"/>
        <v>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1:18" outlineLevel="1" x14ac:dyDescent="0.3">
      <c r="A33" s="34" t="s">
        <v>56</v>
      </c>
      <c r="B33" s="71" t="s">
        <v>56</v>
      </c>
      <c r="C33" s="71" t="s">
        <v>15</v>
      </c>
      <c r="D33" s="72">
        <v>5103210</v>
      </c>
      <c r="E33" s="72" t="s">
        <v>57</v>
      </c>
      <c r="F33" s="35">
        <f t="shared" si="2"/>
        <v>600000</v>
      </c>
      <c r="G33" s="35">
        <v>50000</v>
      </c>
      <c r="H33" s="35">
        <v>50000</v>
      </c>
      <c r="I33" s="35">
        <v>50000</v>
      </c>
      <c r="J33" s="35">
        <v>50000</v>
      </c>
      <c r="K33" s="35">
        <v>50000</v>
      </c>
      <c r="L33" s="35">
        <v>50000</v>
      </c>
      <c r="M33" s="35">
        <v>50000</v>
      </c>
      <c r="N33" s="35">
        <v>50000</v>
      </c>
      <c r="O33" s="35">
        <v>50000</v>
      </c>
      <c r="P33" s="35">
        <v>50000</v>
      </c>
      <c r="Q33" s="35">
        <v>50000</v>
      </c>
      <c r="R33" s="35">
        <v>50000</v>
      </c>
    </row>
    <row r="34" spans="1:18" outlineLevel="1" x14ac:dyDescent="0.3">
      <c r="A34" s="34" t="s">
        <v>58</v>
      </c>
      <c r="B34" s="71" t="s">
        <v>59</v>
      </c>
      <c r="C34" s="71" t="s">
        <v>15</v>
      </c>
      <c r="D34" s="72">
        <v>5103190</v>
      </c>
      <c r="E34" s="72" t="s">
        <v>60</v>
      </c>
      <c r="F34" s="35">
        <f t="shared" si="2"/>
        <v>669600</v>
      </c>
      <c r="G34" s="35">
        <v>55800</v>
      </c>
      <c r="H34" s="35">
        <v>55800</v>
      </c>
      <c r="I34" s="35">
        <v>55800</v>
      </c>
      <c r="J34" s="35">
        <v>55800</v>
      </c>
      <c r="K34" s="35">
        <v>55800</v>
      </c>
      <c r="L34" s="35">
        <v>55800</v>
      </c>
      <c r="M34" s="35">
        <v>55800</v>
      </c>
      <c r="N34" s="35">
        <v>55800</v>
      </c>
      <c r="O34" s="35">
        <v>55800</v>
      </c>
      <c r="P34" s="35">
        <v>55800</v>
      </c>
      <c r="Q34" s="35">
        <v>55800</v>
      </c>
      <c r="R34" s="35">
        <v>55800</v>
      </c>
    </row>
    <row r="35" spans="1:18" outlineLevel="1" x14ac:dyDescent="0.3">
      <c r="A35" s="34" t="s">
        <v>61</v>
      </c>
      <c r="B35" s="71" t="s">
        <v>62</v>
      </c>
      <c r="C35" s="71" t="s">
        <v>15</v>
      </c>
      <c r="D35" s="72">
        <v>5103180</v>
      </c>
      <c r="E35" s="72" t="s">
        <v>63</v>
      </c>
      <c r="F35" s="35">
        <f t="shared" si="2"/>
        <v>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spans="1:18" outlineLevel="1" x14ac:dyDescent="0.3">
      <c r="A36" s="34" t="s">
        <v>64</v>
      </c>
      <c r="B36" s="71" t="s">
        <v>65</v>
      </c>
      <c r="C36" s="71" t="s">
        <v>15</v>
      </c>
      <c r="D36" s="72">
        <v>5103170</v>
      </c>
      <c r="E36" s="72" t="s">
        <v>66</v>
      </c>
      <c r="F36" s="35">
        <f t="shared" si="2"/>
        <v>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8" outlineLevel="1" x14ac:dyDescent="0.3">
      <c r="A37" s="34" t="s">
        <v>67</v>
      </c>
      <c r="B37" s="71" t="s">
        <v>68</v>
      </c>
      <c r="C37" s="71" t="s">
        <v>15</v>
      </c>
      <c r="D37" s="72">
        <v>5103160</v>
      </c>
      <c r="E37" s="72" t="s">
        <v>69</v>
      </c>
      <c r="F37" s="35">
        <f t="shared" si="2"/>
        <v>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 outlineLevel="1" x14ac:dyDescent="0.3">
      <c r="A38" s="34" t="s">
        <v>70</v>
      </c>
      <c r="B38" s="71" t="s">
        <v>71</v>
      </c>
      <c r="C38" s="71" t="s">
        <v>15</v>
      </c>
      <c r="D38" s="72">
        <v>5103150</v>
      </c>
      <c r="E38" s="72" t="s">
        <v>72</v>
      </c>
      <c r="F38" s="35">
        <f t="shared" si="2"/>
        <v>0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 outlineLevel="1" x14ac:dyDescent="0.3">
      <c r="A39" s="34" t="s">
        <v>73</v>
      </c>
      <c r="B39" s="71" t="s">
        <v>74</v>
      </c>
      <c r="C39" s="71" t="s">
        <v>15</v>
      </c>
      <c r="D39" s="72">
        <v>5103140</v>
      </c>
      <c r="E39" s="72" t="s">
        <v>75</v>
      </c>
      <c r="F39" s="35">
        <f t="shared" si="2"/>
        <v>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1:18" outlineLevel="1" x14ac:dyDescent="0.3">
      <c r="A40" s="34" t="s">
        <v>76</v>
      </c>
      <c r="B40" s="71" t="s">
        <v>7</v>
      </c>
      <c r="C40" s="71" t="s">
        <v>15</v>
      </c>
      <c r="D40" s="72">
        <v>5103130</v>
      </c>
      <c r="E40" s="72" t="s">
        <v>77</v>
      </c>
      <c r="F40" s="35">
        <f t="shared" si="2"/>
        <v>0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 outlineLevel="1" x14ac:dyDescent="0.3">
      <c r="A41" s="34" t="s">
        <v>78</v>
      </c>
      <c r="B41" s="71" t="s">
        <v>79</v>
      </c>
      <c r="C41" s="71" t="s">
        <v>15</v>
      </c>
      <c r="D41" s="72">
        <v>5103120</v>
      </c>
      <c r="E41" s="72" t="s">
        <v>80</v>
      </c>
      <c r="F41" s="35">
        <f t="shared" si="2"/>
        <v>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1:18" outlineLevel="1" x14ac:dyDescent="0.3">
      <c r="A42" s="34" t="s">
        <v>81</v>
      </c>
      <c r="B42" s="71" t="s">
        <v>82</v>
      </c>
      <c r="C42" s="71" t="s">
        <v>15</v>
      </c>
      <c r="D42" s="72">
        <v>5103110</v>
      </c>
      <c r="E42" s="72" t="s">
        <v>83</v>
      </c>
      <c r="F42" s="35">
        <f t="shared" si="2"/>
        <v>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18" outlineLevel="1" x14ac:dyDescent="0.3">
      <c r="A43" s="34" t="s">
        <v>84</v>
      </c>
      <c r="B43" s="71" t="s">
        <v>59</v>
      </c>
      <c r="C43" s="71" t="s">
        <v>15</v>
      </c>
      <c r="D43" s="72">
        <v>5103270</v>
      </c>
      <c r="E43" s="72" t="s">
        <v>60</v>
      </c>
      <c r="F43" s="35">
        <f t="shared" si="2"/>
        <v>58228200</v>
      </c>
      <c r="G43" s="52">
        <v>4852350</v>
      </c>
      <c r="H43" s="35">
        <v>4852350</v>
      </c>
      <c r="I43" s="35">
        <v>4852350</v>
      </c>
      <c r="J43" s="35">
        <v>4852350</v>
      </c>
      <c r="K43" s="35">
        <v>4852350</v>
      </c>
      <c r="L43" s="35">
        <v>4852350</v>
      </c>
      <c r="M43" s="35">
        <v>4852350</v>
      </c>
      <c r="N43" s="35">
        <v>4852350</v>
      </c>
      <c r="O43" s="35">
        <v>4852350</v>
      </c>
      <c r="P43" s="35">
        <v>4852350</v>
      </c>
      <c r="Q43" s="35">
        <v>4852350</v>
      </c>
      <c r="R43" s="35">
        <v>4852350</v>
      </c>
    </row>
    <row r="44" spans="1:18" outlineLevel="1" x14ac:dyDescent="0.3">
      <c r="A44" s="34" t="s">
        <v>85</v>
      </c>
      <c r="B44" s="71" t="s">
        <v>85</v>
      </c>
      <c r="C44" s="71" t="s">
        <v>27</v>
      </c>
      <c r="D44" s="72">
        <v>5103111</v>
      </c>
      <c r="E44" s="72" t="s">
        <v>86</v>
      </c>
      <c r="F44" s="35">
        <f t="shared" si="2"/>
        <v>1200000</v>
      </c>
      <c r="G44" s="35">
        <v>100000</v>
      </c>
      <c r="H44" s="35">
        <v>100000</v>
      </c>
      <c r="I44" s="35">
        <v>100000</v>
      </c>
      <c r="J44" s="35">
        <v>100000</v>
      </c>
      <c r="K44" s="35">
        <v>100000</v>
      </c>
      <c r="L44" s="35">
        <v>100000</v>
      </c>
      <c r="M44" s="35">
        <v>100000</v>
      </c>
      <c r="N44" s="35">
        <v>100000</v>
      </c>
      <c r="O44" s="35">
        <v>100000</v>
      </c>
      <c r="P44" s="35">
        <v>100000</v>
      </c>
      <c r="Q44" s="35">
        <v>100000</v>
      </c>
      <c r="R44" s="35">
        <v>100000</v>
      </c>
    </row>
    <row r="45" spans="1:18" outlineLevel="1" x14ac:dyDescent="0.3">
      <c r="A45" s="34" t="s">
        <v>87</v>
      </c>
      <c r="B45" s="71" t="s">
        <v>87</v>
      </c>
      <c r="C45" s="71" t="s">
        <v>15</v>
      </c>
      <c r="D45" s="72">
        <v>5103131</v>
      </c>
      <c r="E45" s="72" t="s">
        <v>88</v>
      </c>
      <c r="F45" s="35">
        <f t="shared" si="2"/>
        <v>2880000</v>
      </c>
      <c r="G45" s="35">
        <v>240000</v>
      </c>
      <c r="H45" s="35">
        <v>240000</v>
      </c>
      <c r="I45" s="35">
        <v>240000</v>
      </c>
      <c r="J45" s="35">
        <v>240000</v>
      </c>
      <c r="K45" s="35">
        <v>240000</v>
      </c>
      <c r="L45" s="35">
        <v>240000</v>
      </c>
      <c r="M45" s="35">
        <v>240000</v>
      </c>
      <c r="N45" s="35">
        <v>240000</v>
      </c>
      <c r="O45" s="35">
        <v>240000</v>
      </c>
      <c r="P45" s="35">
        <v>240000</v>
      </c>
      <c r="Q45" s="35">
        <v>240000</v>
      </c>
      <c r="R45" s="35">
        <v>240000</v>
      </c>
    </row>
    <row r="46" spans="1:18" x14ac:dyDescent="0.3">
      <c r="A46" s="26" t="s">
        <v>89</v>
      </c>
      <c r="B46" s="73" t="s">
        <v>7</v>
      </c>
      <c r="C46" s="73"/>
      <c r="D46" s="74"/>
      <c r="E46" s="74"/>
      <c r="F46" s="29">
        <f t="shared" ref="F46:R46" si="3">SUM(F47:F51)</f>
        <v>2400000</v>
      </c>
      <c r="G46" s="29">
        <f t="shared" si="3"/>
        <v>200000</v>
      </c>
      <c r="H46" s="29">
        <f t="shared" si="3"/>
        <v>200000</v>
      </c>
      <c r="I46" s="29">
        <f t="shared" si="3"/>
        <v>200000</v>
      </c>
      <c r="J46" s="29">
        <f t="shared" si="3"/>
        <v>200000</v>
      </c>
      <c r="K46" s="29">
        <f t="shared" si="3"/>
        <v>200000</v>
      </c>
      <c r="L46" s="29">
        <f t="shared" si="3"/>
        <v>200000</v>
      </c>
      <c r="M46" s="29">
        <f t="shared" si="3"/>
        <v>200000</v>
      </c>
      <c r="N46" s="29">
        <f t="shared" si="3"/>
        <v>200000</v>
      </c>
      <c r="O46" s="29">
        <f t="shared" si="3"/>
        <v>200000</v>
      </c>
      <c r="P46" s="29">
        <f t="shared" si="3"/>
        <v>200000</v>
      </c>
      <c r="Q46" s="29">
        <f t="shared" si="3"/>
        <v>200000</v>
      </c>
      <c r="R46" s="29">
        <f t="shared" si="3"/>
        <v>200000</v>
      </c>
    </row>
    <row r="47" spans="1:18" outlineLevel="1" x14ac:dyDescent="0.3">
      <c r="A47" s="34" t="s">
        <v>90</v>
      </c>
      <c r="B47" s="71" t="s">
        <v>91</v>
      </c>
      <c r="C47" s="71" t="s">
        <v>15</v>
      </c>
      <c r="D47" s="72">
        <v>5104110</v>
      </c>
      <c r="E47" s="72" t="s">
        <v>92</v>
      </c>
      <c r="F47" s="35">
        <f>SUM(G47:R47)</f>
        <v>0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1:18" outlineLevel="1" x14ac:dyDescent="0.3">
      <c r="A48" s="34" t="s">
        <v>93</v>
      </c>
      <c r="B48" s="71" t="s">
        <v>94</v>
      </c>
      <c r="C48" s="71" t="s">
        <v>15</v>
      </c>
      <c r="D48" s="72">
        <v>5104120</v>
      </c>
      <c r="E48" s="72" t="s">
        <v>95</v>
      </c>
      <c r="F48" s="35">
        <f>SUM(G48:R48)</f>
        <v>1200000</v>
      </c>
      <c r="G48" s="35">
        <v>100000</v>
      </c>
      <c r="H48" s="35">
        <v>100000</v>
      </c>
      <c r="I48" s="35">
        <v>100000</v>
      </c>
      <c r="J48" s="35">
        <v>100000</v>
      </c>
      <c r="K48" s="35">
        <v>100000</v>
      </c>
      <c r="L48" s="35">
        <v>100000</v>
      </c>
      <c r="M48" s="35">
        <v>100000</v>
      </c>
      <c r="N48" s="35">
        <v>100000</v>
      </c>
      <c r="O48" s="35">
        <v>100000</v>
      </c>
      <c r="P48" s="35">
        <v>100000</v>
      </c>
      <c r="Q48" s="35">
        <v>100000</v>
      </c>
      <c r="R48" s="35">
        <v>100000</v>
      </c>
    </row>
    <row r="49" spans="1:18" outlineLevel="1" x14ac:dyDescent="0.3">
      <c r="A49" s="34" t="s">
        <v>96</v>
      </c>
      <c r="B49" s="71" t="s">
        <v>97</v>
      </c>
      <c r="C49" s="71" t="s">
        <v>15</v>
      </c>
      <c r="D49" s="72">
        <v>5104130</v>
      </c>
      <c r="E49" s="72" t="s">
        <v>98</v>
      </c>
      <c r="F49" s="35">
        <f>SUM(G49:R49)</f>
        <v>1200000</v>
      </c>
      <c r="G49" s="35">
        <v>100000</v>
      </c>
      <c r="H49" s="35">
        <v>100000</v>
      </c>
      <c r="I49" s="35">
        <v>100000</v>
      </c>
      <c r="J49" s="35">
        <v>100000</v>
      </c>
      <c r="K49" s="35">
        <v>100000</v>
      </c>
      <c r="L49" s="35">
        <v>100000</v>
      </c>
      <c r="M49" s="35">
        <v>100000</v>
      </c>
      <c r="N49" s="35">
        <v>100000</v>
      </c>
      <c r="O49" s="35">
        <v>100000</v>
      </c>
      <c r="P49" s="35">
        <v>100000</v>
      </c>
      <c r="Q49" s="35">
        <v>100000</v>
      </c>
      <c r="R49" s="35">
        <v>100000</v>
      </c>
    </row>
    <row r="50" spans="1:18" outlineLevel="1" x14ac:dyDescent="0.3">
      <c r="A50" s="34" t="s">
        <v>99</v>
      </c>
      <c r="B50" s="71" t="s">
        <v>100</v>
      </c>
      <c r="C50" s="71" t="s">
        <v>15</v>
      </c>
      <c r="D50" s="72">
        <v>5104140</v>
      </c>
      <c r="E50" s="72" t="s">
        <v>101</v>
      </c>
      <c r="F50" s="35">
        <f>SUM(G50:R50)</f>
        <v>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 outlineLevel="1" x14ac:dyDescent="0.3">
      <c r="A51" s="34" t="s">
        <v>102</v>
      </c>
      <c r="B51" s="71" t="s">
        <v>102</v>
      </c>
      <c r="C51" s="71" t="s">
        <v>15</v>
      </c>
      <c r="D51" s="72">
        <v>5104150</v>
      </c>
      <c r="E51" s="72" t="s">
        <v>103</v>
      </c>
      <c r="F51" s="35">
        <f>SUM(G51:R51)</f>
        <v>0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 spans="1:18" x14ac:dyDescent="0.3">
      <c r="A52" s="26" t="s">
        <v>104</v>
      </c>
      <c r="B52" s="73" t="s">
        <v>7</v>
      </c>
      <c r="C52" s="73"/>
      <c r="D52" s="74"/>
      <c r="E52" s="74"/>
      <c r="F52" s="29">
        <f t="shared" ref="F52:R52" si="4">SUM(F53:F59)</f>
        <v>0</v>
      </c>
      <c r="G52" s="29">
        <f t="shared" si="4"/>
        <v>0</v>
      </c>
      <c r="H52" s="29">
        <f t="shared" si="4"/>
        <v>0</v>
      </c>
      <c r="I52" s="29">
        <f t="shared" si="4"/>
        <v>0</v>
      </c>
      <c r="J52" s="29">
        <f t="shared" si="4"/>
        <v>0</v>
      </c>
      <c r="K52" s="29">
        <f t="shared" si="4"/>
        <v>0</v>
      </c>
      <c r="L52" s="29">
        <f t="shared" si="4"/>
        <v>0</v>
      </c>
      <c r="M52" s="29">
        <f t="shared" si="4"/>
        <v>0</v>
      </c>
      <c r="N52" s="29">
        <f t="shared" si="4"/>
        <v>0</v>
      </c>
      <c r="O52" s="29">
        <f t="shared" si="4"/>
        <v>0</v>
      </c>
      <c r="P52" s="29">
        <f t="shared" si="4"/>
        <v>0</v>
      </c>
      <c r="Q52" s="29">
        <f t="shared" si="4"/>
        <v>0</v>
      </c>
      <c r="R52" s="29">
        <f t="shared" si="4"/>
        <v>0</v>
      </c>
    </row>
    <row r="53" spans="1:18" outlineLevel="1" x14ac:dyDescent="0.3">
      <c r="A53" s="34" t="s">
        <v>105</v>
      </c>
      <c r="B53" s="71" t="s">
        <v>106</v>
      </c>
      <c r="C53" s="71" t="s">
        <v>15</v>
      </c>
      <c r="D53" s="72">
        <v>5105160</v>
      </c>
      <c r="E53" s="72" t="s">
        <v>107</v>
      </c>
      <c r="F53" s="35">
        <f t="shared" ref="F53:F59" si="5">SUM(G53:R53)</f>
        <v>0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 spans="1:18" outlineLevel="1" x14ac:dyDescent="0.3">
      <c r="A54" s="34" t="s">
        <v>108</v>
      </c>
      <c r="B54" s="71" t="s">
        <v>106</v>
      </c>
      <c r="C54" s="71" t="s">
        <v>15</v>
      </c>
      <c r="D54" s="72">
        <v>5105150</v>
      </c>
      <c r="E54" s="72" t="s">
        <v>107</v>
      </c>
      <c r="F54" s="35">
        <f t="shared" si="5"/>
        <v>0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</row>
    <row r="55" spans="1:18" outlineLevel="1" x14ac:dyDescent="0.3">
      <c r="A55" s="34" t="s">
        <v>109</v>
      </c>
      <c r="B55" s="71" t="s">
        <v>110</v>
      </c>
      <c r="C55" s="71" t="s">
        <v>15</v>
      </c>
      <c r="D55" s="72">
        <v>5105140</v>
      </c>
      <c r="E55" s="72" t="s">
        <v>111</v>
      </c>
      <c r="F55" s="35">
        <f t="shared" si="5"/>
        <v>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</row>
    <row r="56" spans="1:18" outlineLevel="1" x14ac:dyDescent="0.3">
      <c r="A56" s="34" t="s">
        <v>112</v>
      </c>
      <c r="B56" s="71" t="s">
        <v>106</v>
      </c>
      <c r="C56" s="71" t="s">
        <v>15</v>
      </c>
      <c r="D56" s="72">
        <v>5105130</v>
      </c>
      <c r="E56" s="72" t="s">
        <v>107</v>
      </c>
      <c r="F56" s="35">
        <f t="shared" si="5"/>
        <v>0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 outlineLevel="1" x14ac:dyDescent="0.3">
      <c r="A57" s="34" t="s">
        <v>113</v>
      </c>
      <c r="B57" s="71" t="s">
        <v>106</v>
      </c>
      <c r="C57" s="71" t="s">
        <v>15</v>
      </c>
      <c r="D57" s="72">
        <v>5105120</v>
      </c>
      <c r="E57" s="72" t="s">
        <v>107</v>
      </c>
      <c r="F57" s="35">
        <f t="shared" si="5"/>
        <v>0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</row>
    <row r="58" spans="1:18" outlineLevel="1" x14ac:dyDescent="0.3">
      <c r="A58" s="34" t="s">
        <v>114</v>
      </c>
      <c r="B58" s="71" t="s">
        <v>106</v>
      </c>
      <c r="C58" s="71" t="s">
        <v>15</v>
      </c>
      <c r="D58" s="72">
        <v>5105110</v>
      </c>
      <c r="E58" s="72" t="s">
        <v>107</v>
      </c>
      <c r="F58" s="35">
        <f t="shared" si="5"/>
        <v>0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</row>
    <row r="59" spans="1:18" outlineLevel="1" x14ac:dyDescent="0.3">
      <c r="A59" s="34" t="s">
        <v>115</v>
      </c>
      <c r="B59" s="71" t="s">
        <v>106</v>
      </c>
      <c r="C59" s="71" t="s">
        <v>15</v>
      </c>
      <c r="D59" s="72">
        <v>5105111</v>
      </c>
      <c r="E59" s="72" t="s">
        <v>107</v>
      </c>
      <c r="F59" s="35">
        <f t="shared" si="5"/>
        <v>0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</row>
    <row r="60" spans="1:18" x14ac:dyDescent="0.3">
      <c r="A60" s="26" t="s">
        <v>116</v>
      </c>
      <c r="B60" s="73" t="s">
        <v>7</v>
      </c>
      <c r="C60" s="73"/>
      <c r="D60" s="74"/>
      <c r="E60" s="74"/>
      <c r="F60" s="29">
        <f t="shared" ref="F60:R60" si="6">SUM(F61:F67)</f>
        <v>3410000000</v>
      </c>
      <c r="G60" s="29">
        <f t="shared" si="6"/>
        <v>275000000</v>
      </c>
      <c r="H60" s="29">
        <f t="shared" si="6"/>
        <v>275000000</v>
      </c>
      <c r="I60" s="29">
        <f t="shared" si="6"/>
        <v>275000000</v>
      </c>
      <c r="J60" s="29">
        <f t="shared" si="6"/>
        <v>270000000</v>
      </c>
      <c r="K60" s="29">
        <f t="shared" si="6"/>
        <v>270000000</v>
      </c>
      <c r="L60" s="29">
        <f t="shared" si="6"/>
        <v>300000000</v>
      </c>
      <c r="M60" s="29">
        <f t="shared" si="6"/>
        <v>300000000</v>
      </c>
      <c r="N60" s="29">
        <f t="shared" si="6"/>
        <v>300000000</v>
      </c>
      <c r="O60" s="29">
        <f t="shared" si="6"/>
        <v>270000000</v>
      </c>
      <c r="P60" s="29">
        <f t="shared" si="6"/>
        <v>265000000</v>
      </c>
      <c r="Q60" s="29">
        <f t="shared" si="6"/>
        <v>305000000</v>
      </c>
      <c r="R60" s="29">
        <f t="shared" si="6"/>
        <v>305000000</v>
      </c>
    </row>
    <row r="61" spans="1:18" outlineLevel="1" x14ac:dyDescent="0.3">
      <c r="A61" s="34" t="s">
        <v>117</v>
      </c>
      <c r="B61" s="71" t="s">
        <v>118</v>
      </c>
      <c r="C61" s="71" t="s">
        <v>27</v>
      </c>
      <c r="D61" s="72">
        <v>5106110</v>
      </c>
      <c r="E61" s="72" t="s">
        <v>119</v>
      </c>
      <c r="F61" s="88">
        <f t="shared" ref="F61:F67" si="7">SUM(G61:R61)</f>
        <v>210000000</v>
      </c>
      <c r="G61" s="35">
        <v>15000000</v>
      </c>
      <c r="H61" s="35">
        <v>15000000</v>
      </c>
      <c r="I61" s="35">
        <v>15000000</v>
      </c>
      <c r="J61" s="35">
        <v>20000000</v>
      </c>
      <c r="K61" s="35">
        <v>20000000</v>
      </c>
      <c r="L61" s="35">
        <v>20000000</v>
      </c>
      <c r="M61" s="35">
        <v>20000000</v>
      </c>
      <c r="N61" s="35">
        <v>20000000</v>
      </c>
      <c r="O61" s="35">
        <v>20000000</v>
      </c>
      <c r="P61" s="35">
        <v>15000000</v>
      </c>
      <c r="Q61" s="35">
        <v>15000000</v>
      </c>
      <c r="R61" s="35">
        <v>15000000</v>
      </c>
    </row>
    <row r="62" spans="1:18" outlineLevel="1" x14ac:dyDescent="0.3">
      <c r="A62" s="34" t="s">
        <v>120</v>
      </c>
      <c r="B62" s="71" t="s">
        <v>118</v>
      </c>
      <c r="C62" s="71" t="s">
        <v>15</v>
      </c>
      <c r="D62" s="72">
        <v>5106120</v>
      </c>
      <c r="E62" s="72" t="s">
        <v>119</v>
      </c>
      <c r="F62" s="35">
        <f t="shared" si="7"/>
        <v>0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8" outlineLevel="1" x14ac:dyDescent="0.3">
      <c r="A63" s="34" t="s">
        <v>121</v>
      </c>
      <c r="B63" s="71" t="s">
        <v>118</v>
      </c>
      <c r="C63" s="71" t="s">
        <v>27</v>
      </c>
      <c r="D63" s="72">
        <v>5106130</v>
      </c>
      <c r="E63" s="72" t="s">
        <v>119</v>
      </c>
      <c r="F63" s="88">
        <f t="shared" si="7"/>
        <v>2070000000</v>
      </c>
      <c r="G63" s="35">
        <v>160000000</v>
      </c>
      <c r="H63" s="35">
        <v>160000000</v>
      </c>
      <c r="I63" s="35">
        <v>160000000</v>
      </c>
      <c r="J63" s="35">
        <v>160000000</v>
      </c>
      <c r="K63" s="35">
        <v>160000000</v>
      </c>
      <c r="L63" s="35">
        <v>190000000</v>
      </c>
      <c r="M63" s="35">
        <v>190000000</v>
      </c>
      <c r="N63" s="35">
        <v>190000000</v>
      </c>
      <c r="O63" s="35">
        <v>160000000</v>
      </c>
      <c r="P63" s="35">
        <v>160000000</v>
      </c>
      <c r="Q63" s="35">
        <v>190000000</v>
      </c>
      <c r="R63" s="35">
        <v>190000000</v>
      </c>
    </row>
    <row r="64" spans="1:18" outlineLevel="1" x14ac:dyDescent="0.3">
      <c r="A64" s="34" t="s">
        <v>122</v>
      </c>
      <c r="B64" s="71" t="s">
        <v>7</v>
      </c>
      <c r="C64" s="71" t="s">
        <v>27</v>
      </c>
      <c r="D64" s="72">
        <v>5106140</v>
      </c>
      <c r="E64" s="72" t="s">
        <v>119</v>
      </c>
      <c r="F64" s="35">
        <f t="shared" si="7"/>
        <v>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1:18" outlineLevel="1" x14ac:dyDescent="0.3">
      <c r="A65" s="34" t="s">
        <v>123</v>
      </c>
      <c r="B65" s="71" t="s">
        <v>118</v>
      </c>
      <c r="C65" s="71" t="s">
        <v>15</v>
      </c>
      <c r="D65" s="72">
        <v>5106150</v>
      </c>
      <c r="E65" s="72" t="s">
        <v>119</v>
      </c>
      <c r="F65" s="35">
        <f t="shared" si="7"/>
        <v>0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1:18" outlineLevel="1" x14ac:dyDescent="0.3">
      <c r="A66" s="34" t="s">
        <v>124</v>
      </c>
      <c r="B66" s="71" t="s">
        <v>7</v>
      </c>
      <c r="C66" s="71" t="s">
        <v>27</v>
      </c>
      <c r="D66" s="72">
        <v>5106160</v>
      </c>
      <c r="E66" s="72" t="s">
        <v>119</v>
      </c>
      <c r="F66" s="35">
        <f t="shared" si="7"/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1:18" outlineLevel="1" x14ac:dyDescent="0.3">
      <c r="A67" s="34" t="s">
        <v>125</v>
      </c>
      <c r="B67" s="71" t="s">
        <v>118</v>
      </c>
      <c r="C67" s="71" t="s">
        <v>15</v>
      </c>
      <c r="D67" s="72">
        <v>5106141</v>
      </c>
      <c r="E67" s="72" t="s">
        <v>119</v>
      </c>
      <c r="F67" s="88">
        <f t="shared" si="7"/>
        <v>1130000000</v>
      </c>
      <c r="G67" s="35">
        <v>100000000</v>
      </c>
      <c r="H67" s="35">
        <v>100000000</v>
      </c>
      <c r="I67" s="35">
        <v>100000000</v>
      </c>
      <c r="J67" s="35">
        <v>90000000</v>
      </c>
      <c r="K67" s="35">
        <v>90000000</v>
      </c>
      <c r="L67" s="35">
        <v>90000000</v>
      </c>
      <c r="M67" s="35">
        <v>90000000</v>
      </c>
      <c r="N67" s="35">
        <v>90000000</v>
      </c>
      <c r="O67" s="35">
        <v>90000000</v>
      </c>
      <c r="P67" s="35">
        <v>90000000</v>
      </c>
      <c r="Q67" s="35">
        <v>100000000</v>
      </c>
      <c r="R67" s="35">
        <v>100000000</v>
      </c>
    </row>
    <row r="68" spans="1:18" x14ac:dyDescent="0.3">
      <c r="A68" s="26" t="s">
        <v>126</v>
      </c>
      <c r="B68" s="73" t="s">
        <v>7</v>
      </c>
      <c r="C68" s="73"/>
      <c r="D68" s="74"/>
      <c r="E68" s="74"/>
      <c r="F68" s="29">
        <f t="shared" ref="F68:R68" si="8">SUM(F69:F78)</f>
        <v>48000000</v>
      </c>
      <c r="G68" s="29">
        <f t="shared" si="8"/>
        <v>4000000</v>
      </c>
      <c r="H68" s="29">
        <f t="shared" si="8"/>
        <v>4000000</v>
      </c>
      <c r="I68" s="29">
        <f t="shared" si="8"/>
        <v>4000000</v>
      </c>
      <c r="J68" s="29">
        <f t="shared" si="8"/>
        <v>4000000</v>
      </c>
      <c r="K68" s="29">
        <f t="shared" si="8"/>
        <v>4000000</v>
      </c>
      <c r="L68" s="29">
        <f t="shared" si="8"/>
        <v>4000000</v>
      </c>
      <c r="M68" s="29">
        <f t="shared" si="8"/>
        <v>4000000</v>
      </c>
      <c r="N68" s="29">
        <f t="shared" si="8"/>
        <v>4000000</v>
      </c>
      <c r="O68" s="29">
        <f t="shared" si="8"/>
        <v>4000000</v>
      </c>
      <c r="P68" s="29">
        <f t="shared" si="8"/>
        <v>4000000</v>
      </c>
      <c r="Q68" s="29">
        <f t="shared" si="8"/>
        <v>4000000</v>
      </c>
      <c r="R68" s="29">
        <f t="shared" si="8"/>
        <v>4000000</v>
      </c>
    </row>
    <row r="69" spans="1:18" outlineLevel="1" x14ac:dyDescent="0.3">
      <c r="A69" s="34" t="s">
        <v>127</v>
      </c>
      <c r="B69" s="71" t="s">
        <v>128</v>
      </c>
      <c r="C69" s="71" t="s">
        <v>15</v>
      </c>
      <c r="D69" s="72">
        <v>5107110</v>
      </c>
      <c r="E69" s="72" t="s">
        <v>129</v>
      </c>
      <c r="F69" s="35">
        <f t="shared" ref="F69:F78" si="9">SUM(G69:R69)</f>
        <v>0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 outlineLevel="1" x14ac:dyDescent="0.3">
      <c r="A70" s="34" t="s">
        <v>130</v>
      </c>
      <c r="B70" s="71" t="s">
        <v>128</v>
      </c>
      <c r="C70" s="71" t="s">
        <v>15</v>
      </c>
      <c r="D70" s="72">
        <v>5107130</v>
      </c>
      <c r="E70" s="72" t="s">
        <v>129</v>
      </c>
      <c r="F70" s="35">
        <f t="shared" si="9"/>
        <v>0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1:18" outlineLevel="1" x14ac:dyDescent="0.3">
      <c r="A71" s="40" t="s">
        <v>131</v>
      </c>
      <c r="B71" s="71" t="s">
        <v>128</v>
      </c>
      <c r="C71" s="71" t="s">
        <v>15</v>
      </c>
      <c r="D71" s="72">
        <v>5107120</v>
      </c>
      <c r="E71" s="72" t="s">
        <v>129</v>
      </c>
      <c r="F71" s="35">
        <f t="shared" si="9"/>
        <v>0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  <row r="72" spans="1:18" outlineLevel="1" x14ac:dyDescent="0.3">
      <c r="A72" s="34" t="s">
        <v>132</v>
      </c>
      <c r="B72" s="71" t="s">
        <v>128</v>
      </c>
      <c r="C72" s="71" t="s">
        <v>15</v>
      </c>
      <c r="D72" s="72">
        <v>5107140</v>
      </c>
      <c r="E72" s="72" t="s">
        <v>129</v>
      </c>
      <c r="F72" s="35">
        <f t="shared" si="9"/>
        <v>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</row>
    <row r="73" spans="1:18" outlineLevel="1" x14ac:dyDescent="0.3">
      <c r="A73" s="34" t="s">
        <v>133</v>
      </c>
      <c r="B73" s="71" t="s">
        <v>128</v>
      </c>
      <c r="C73" s="71" t="s">
        <v>15</v>
      </c>
      <c r="D73" s="72">
        <v>5107150</v>
      </c>
      <c r="E73" s="72" t="s">
        <v>129</v>
      </c>
      <c r="F73" s="35">
        <f t="shared" si="9"/>
        <v>0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 outlineLevel="1" x14ac:dyDescent="0.3">
      <c r="A74" s="34" t="s">
        <v>134</v>
      </c>
      <c r="B74" s="71" t="s">
        <v>128</v>
      </c>
      <c r="C74" s="71" t="s">
        <v>15</v>
      </c>
      <c r="D74" s="72">
        <v>5107160</v>
      </c>
      <c r="E74" s="72" t="s">
        <v>129</v>
      </c>
      <c r="F74" s="35">
        <f t="shared" si="9"/>
        <v>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</row>
    <row r="75" spans="1:18" outlineLevel="1" x14ac:dyDescent="0.3">
      <c r="A75" s="34" t="s">
        <v>135</v>
      </c>
      <c r="B75" s="71" t="s">
        <v>128</v>
      </c>
      <c r="C75" s="71" t="s">
        <v>15</v>
      </c>
      <c r="D75" s="72">
        <v>5107170</v>
      </c>
      <c r="E75" s="72" t="s">
        <v>129</v>
      </c>
      <c r="F75" s="35">
        <f t="shared" si="9"/>
        <v>0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 outlineLevel="1" x14ac:dyDescent="0.3">
      <c r="A76" s="34" t="s">
        <v>136</v>
      </c>
      <c r="B76" s="71" t="s">
        <v>128</v>
      </c>
      <c r="C76" s="71" t="s">
        <v>15</v>
      </c>
      <c r="D76" s="72">
        <v>5107180</v>
      </c>
      <c r="E76" s="72" t="s">
        <v>129</v>
      </c>
      <c r="F76" s="35">
        <f t="shared" si="9"/>
        <v>0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 outlineLevel="1" x14ac:dyDescent="0.3">
      <c r="A77" s="64" t="s">
        <v>137</v>
      </c>
      <c r="B77" s="71" t="s">
        <v>138</v>
      </c>
      <c r="C77" s="71" t="s">
        <v>15</v>
      </c>
      <c r="D77" s="72">
        <v>5107190</v>
      </c>
      <c r="E77" s="72" t="s">
        <v>129</v>
      </c>
      <c r="F77" s="35">
        <f t="shared" si="9"/>
        <v>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 outlineLevel="1" x14ac:dyDescent="0.3">
      <c r="A78" s="34" t="s">
        <v>139</v>
      </c>
      <c r="B78" s="71" t="s">
        <v>140</v>
      </c>
      <c r="C78" s="71" t="s">
        <v>15</v>
      </c>
      <c r="D78" s="72">
        <v>5107210</v>
      </c>
      <c r="E78" s="72" t="s">
        <v>141</v>
      </c>
      <c r="F78" s="35">
        <f t="shared" si="9"/>
        <v>48000000</v>
      </c>
      <c r="G78" s="35">
        <v>4000000</v>
      </c>
      <c r="H78" s="35">
        <v>4000000</v>
      </c>
      <c r="I78" s="35">
        <v>4000000</v>
      </c>
      <c r="J78" s="35">
        <v>4000000</v>
      </c>
      <c r="K78" s="35">
        <v>4000000</v>
      </c>
      <c r="L78" s="35">
        <v>4000000</v>
      </c>
      <c r="M78" s="35">
        <v>4000000</v>
      </c>
      <c r="N78" s="35">
        <v>4000000</v>
      </c>
      <c r="O78" s="35">
        <v>4000000</v>
      </c>
      <c r="P78" s="35">
        <v>4000000</v>
      </c>
      <c r="Q78" s="35">
        <v>4000000</v>
      </c>
      <c r="R78" s="35">
        <v>4000000</v>
      </c>
    </row>
    <row r="79" spans="1:18" x14ac:dyDescent="0.3">
      <c r="A79" s="26" t="s">
        <v>142</v>
      </c>
      <c r="B79" s="73" t="s">
        <v>7</v>
      </c>
      <c r="C79" s="73"/>
      <c r="D79" s="74"/>
      <c r="E79" s="74"/>
      <c r="F79" s="29">
        <f t="shared" ref="F79:R79" si="10">SUM(F80:F87)</f>
        <v>0</v>
      </c>
      <c r="G79" s="29">
        <f t="shared" si="10"/>
        <v>0</v>
      </c>
      <c r="H79" s="29">
        <f t="shared" si="10"/>
        <v>0</v>
      </c>
      <c r="I79" s="29">
        <f t="shared" si="10"/>
        <v>0</v>
      </c>
      <c r="J79" s="29">
        <f t="shared" si="10"/>
        <v>0</v>
      </c>
      <c r="K79" s="29">
        <f t="shared" si="10"/>
        <v>0</v>
      </c>
      <c r="L79" s="29">
        <f t="shared" si="10"/>
        <v>0</v>
      </c>
      <c r="M79" s="29">
        <f t="shared" si="10"/>
        <v>0</v>
      </c>
      <c r="N79" s="29">
        <f t="shared" si="10"/>
        <v>0</v>
      </c>
      <c r="O79" s="29">
        <f t="shared" si="10"/>
        <v>0</v>
      </c>
      <c r="P79" s="29">
        <f t="shared" si="10"/>
        <v>0</v>
      </c>
      <c r="Q79" s="29">
        <f t="shared" si="10"/>
        <v>0</v>
      </c>
      <c r="R79" s="29">
        <f t="shared" si="10"/>
        <v>0</v>
      </c>
    </row>
    <row r="80" spans="1:18" outlineLevel="1" x14ac:dyDescent="0.3">
      <c r="A80" s="34" t="s">
        <v>143</v>
      </c>
      <c r="B80" s="71" t="s">
        <v>144</v>
      </c>
      <c r="C80" s="71" t="s">
        <v>15</v>
      </c>
      <c r="D80" s="72">
        <v>5108110</v>
      </c>
      <c r="E80" s="72" t="s">
        <v>145</v>
      </c>
      <c r="F80" s="35">
        <f t="shared" ref="F80:F87" si="11">SUM(G80:R80)</f>
        <v>0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</row>
    <row r="81" spans="1:18" outlineLevel="1" x14ac:dyDescent="0.3">
      <c r="A81" s="34" t="s">
        <v>146</v>
      </c>
      <c r="B81" s="71" t="s">
        <v>144</v>
      </c>
      <c r="C81" s="71" t="s">
        <v>15</v>
      </c>
      <c r="D81" s="72">
        <v>5108120</v>
      </c>
      <c r="E81" s="72" t="s">
        <v>145</v>
      </c>
      <c r="F81" s="35">
        <f t="shared" si="11"/>
        <v>0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 outlineLevel="1" x14ac:dyDescent="0.3">
      <c r="A82" s="34" t="s">
        <v>147</v>
      </c>
      <c r="B82" s="71" t="s">
        <v>144</v>
      </c>
      <c r="C82" s="71" t="s">
        <v>15</v>
      </c>
      <c r="D82" s="72">
        <v>5108130</v>
      </c>
      <c r="E82" s="72" t="s">
        <v>145</v>
      </c>
      <c r="F82" s="35">
        <f t="shared" si="11"/>
        <v>0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 outlineLevel="1" x14ac:dyDescent="0.3">
      <c r="A83" s="34" t="s">
        <v>148</v>
      </c>
      <c r="B83" s="71" t="s">
        <v>144</v>
      </c>
      <c r="C83" s="71" t="s">
        <v>15</v>
      </c>
      <c r="D83" s="72">
        <v>5108140</v>
      </c>
      <c r="E83" s="72" t="s">
        <v>145</v>
      </c>
      <c r="F83" s="35">
        <f t="shared" si="11"/>
        <v>0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 outlineLevel="1" x14ac:dyDescent="0.3">
      <c r="A84" s="34" t="s">
        <v>149</v>
      </c>
      <c r="B84" s="71" t="s">
        <v>150</v>
      </c>
      <c r="C84" s="71" t="s">
        <v>15</v>
      </c>
      <c r="D84" s="72">
        <v>5108150</v>
      </c>
      <c r="E84" s="72" t="s">
        <v>151</v>
      </c>
      <c r="F84" s="35">
        <f t="shared" si="11"/>
        <v>0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 outlineLevel="1" x14ac:dyDescent="0.3">
      <c r="A85" s="34" t="s">
        <v>152</v>
      </c>
      <c r="B85" s="71" t="s">
        <v>144</v>
      </c>
      <c r="C85" s="71" t="s">
        <v>15</v>
      </c>
      <c r="D85" s="72">
        <v>5108160</v>
      </c>
      <c r="E85" s="72" t="s">
        <v>145</v>
      </c>
      <c r="F85" s="35">
        <f t="shared" si="11"/>
        <v>0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 outlineLevel="1" x14ac:dyDescent="0.3">
      <c r="A86" s="34" t="s">
        <v>153</v>
      </c>
      <c r="B86" s="71" t="s">
        <v>153</v>
      </c>
      <c r="C86" s="71" t="s">
        <v>15</v>
      </c>
      <c r="D86" s="72">
        <v>5108161</v>
      </c>
      <c r="E86" s="72" t="s">
        <v>154</v>
      </c>
      <c r="F86" s="35">
        <f t="shared" si="11"/>
        <v>0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</row>
    <row r="87" spans="1:18" outlineLevel="1" x14ac:dyDescent="0.3">
      <c r="A87" s="34" t="s">
        <v>155</v>
      </c>
      <c r="B87" s="71" t="s">
        <v>155</v>
      </c>
      <c r="C87" s="71" t="s">
        <v>15</v>
      </c>
      <c r="D87" s="72">
        <v>5108162</v>
      </c>
      <c r="E87" s="72" t="s">
        <v>156</v>
      </c>
      <c r="F87" s="35">
        <f t="shared" si="11"/>
        <v>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 x14ac:dyDescent="0.3">
      <c r="A88" s="26" t="s">
        <v>157</v>
      </c>
      <c r="B88" s="73" t="s">
        <v>7</v>
      </c>
      <c r="C88" s="73"/>
      <c r="D88" s="74"/>
      <c r="E88" s="74"/>
      <c r="F88" s="29">
        <f t="shared" ref="F88:R88" si="12">SUM(F89:F99)</f>
        <v>384598896</v>
      </c>
      <c r="G88" s="29">
        <f t="shared" si="12"/>
        <v>32049908</v>
      </c>
      <c r="H88" s="29">
        <f t="shared" si="12"/>
        <v>32049908</v>
      </c>
      <c r="I88" s="29">
        <f t="shared" si="12"/>
        <v>32049908</v>
      </c>
      <c r="J88" s="29">
        <f t="shared" si="12"/>
        <v>32049908</v>
      </c>
      <c r="K88" s="29">
        <f t="shared" si="12"/>
        <v>32049908</v>
      </c>
      <c r="L88" s="29">
        <f t="shared" si="12"/>
        <v>32049908</v>
      </c>
      <c r="M88" s="29">
        <f t="shared" si="12"/>
        <v>32049908</v>
      </c>
      <c r="N88" s="29">
        <f t="shared" si="12"/>
        <v>32049908</v>
      </c>
      <c r="O88" s="29">
        <f t="shared" si="12"/>
        <v>32049908</v>
      </c>
      <c r="P88" s="29">
        <f t="shared" si="12"/>
        <v>32049908</v>
      </c>
      <c r="Q88" s="29">
        <f t="shared" si="12"/>
        <v>32049908</v>
      </c>
      <c r="R88" s="29">
        <f t="shared" si="12"/>
        <v>32049908</v>
      </c>
    </row>
    <row r="89" spans="1:18" outlineLevel="1" x14ac:dyDescent="0.3">
      <c r="A89" s="34" t="s">
        <v>158</v>
      </c>
      <c r="B89" s="71" t="s">
        <v>159</v>
      </c>
      <c r="C89" s="71" t="s">
        <v>15</v>
      </c>
      <c r="D89" s="72">
        <v>5109110</v>
      </c>
      <c r="E89" s="72" t="s">
        <v>160</v>
      </c>
      <c r="F89" s="35">
        <f t="shared" ref="F89:F99" si="13">SUM(G89:R89)</f>
        <v>0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</row>
    <row r="90" spans="1:18" outlineLevel="1" x14ac:dyDescent="0.3">
      <c r="A90" s="34" t="s">
        <v>161</v>
      </c>
      <c r="B90" s="71" t="s">
        <v>159</v>
      </c>
      <c r="C90" s="71" t="s">
        <v>15</v>
      </c>
      <c r="D90" s="72">
        <v>5109120</v>
      </c>
      <c r="E90" s="72" t="s">
        <v>160</v>
      </c>
      <c r="F90" s="35">
        <f t="shared" si="13"/>
        <v>0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 outlineLevel="1" x14ac:dyDescent="0.3">
      <c r="A91" s="34" t="s">
        <v>162</v>
      </c>
      <c r="B91" s="71" t="s">
        <v>159</v>
      </c>
      <c r="C91" s="71" t="s">
        <v>15</v>
      </c>
      <c r="D91" s="72">
        <v>5109130</v>
      </c>
      <c r="E91" s="72" t="s">
        <v>160</v>
      </c>
      <c r="F91" s="35">
        <f t="shared" si="13"/>
        <v>380856540</v>
      </c>
      <c r="G91" s="36">
        <v>31738045</v>
      </c>
      <c r="H91" s="36">
        <v>31738045</v>
      </c>
      <c r="I91" s="36">
        <v>31738045</v>
      </c>
      <c r="J91" s="36">
        <v>31738045</v>
      </c>
      <c r="K91" s="36">
        <v>31738045</v>
      </c>
      <c r="L91" s="36">
        <v>31738045</v>
      </c>
      <c r="M91" s="36">
        <v>31738045</v>
      </c>
      <c r="N91" s="36">
        <v>31738045</v>
      </c>
      <c r="O91" s="36">
        <v>31738045</v>
      </c>
      <c r="P91" s="36">
        <v>31738045</v>
      </c>
      <c r="Q91" s="36">
        <v>31738045</v>
      </c>
      <c r="R91" s="36">
        <v>31738045</v>
      </c>
    </row>
    <row r="92" spans="1:18" outlineLevel="1" x14ac:dyDescent="0.3">
      <c r="A92" s="40" t="s">
        <v>163</v>
      </c>
      <c r="B92" s="71" t="s">
        <v>159</v>
      </c>
      <c r="C92" s="71" t="s">
        <v>15</v>
      </c>
      <c r="D92" s="72">
        <v>5109140</v>
      </c>
      <c r="E92" s="72" t="s">
        <v>160</v>
      </c>
      <c r="F92" s="35">
        <f t="shared" si="13"/>
        <v>3742356</v>
      </c>
      <c r="G92" s="36">
        <v>311863</v>
      </c>
      <c r="H92" s="36">
        <v>311863</v>
      </c>
      <c r="I92" s="36">
        <v>311863</v>
      </c>
      <c r="J92" s="36">
        <v>311863</v>
      </c>
      <c r="K92" s="36">
        <v>311863</v>
      </c>
      <c r="L92" s="36">
        <v>311863</v>
      </c>
      <c r="M92" s="36">
        <v>311863</v>
      </c>
      <c r="N92" s="36">
        <v>311863</v>
      </c>
      <c r="O92" s="36">
        <v>311863</v>
      </c>
      <c r="P92" s="36">
        <v>311863</v>
      </c>
      <c r="Q92" s="36">
        <v>311863</v>
      </c>
      <c r="R92" s="36">
        <v>311863</v>
      </c>
    </row>
    <row r="93" spans="1:18" outlineLevel="1" x14ac:dyDescent="0.3">
      <c r="A93" s="34" t="s">
        <v>164</v>
      </c>
      <c r="B93" s="71" t="s">
        <v>159</v>
      </c>
      <c r="C93" s="71" t="s">
        <v>15</v>
      </c>
      <c r="D93" s="72">
        <v>5109150</v>
      </c>
      <c r="E93" s="72" t="s">
        <v>160</v>
      </c>
      <c r="F93" s="35">
        <f t="shared" si="13"/>
        <v>0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1:18" outlineLevel="1" x14ac:dyDescent="0.3">
      <c r="A94" s="34" t="s">
        <v>165</v>
      </c>
      <c r="B94" s="71" t="s">
        <v>159</v>
      </c>
      <c r="C94" s="71" t="s">
        <v>15</v>
      </c>
      <c r="D94" s="72">
        <v>5109160</v>
      </c>
      <c r="E94" s="72" t="s">
        <v>160</v>
      </c>
      <c r="F94" s="35">
        <f t="shared" si="13"/>
        <v>0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 outlineLevel="1" x14ac:dyDescent="0.3">
      <c r="A95" s="34" t="s">
        <v>166</v>
      </c>
      <c r="B95" s="71" t="s">
        <v>159</v>
      </c>
      <c r="C95" s="71" t="s">
        <v>15</v>
      </c>
      <c r="D95" s="72">
        <v>5109170</v>
      </c>
      <c r="E95" s="72" t="s">
        <v>160</v>
      </c>
      <c r="F95" s="35">
        <f t="shared" si="13"/>
        <v>0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</row>
    <row r="96" spans="1:18" outlineLevel="1" x14ac:dyDescent="0.3">
      <c r="A96" s="34" t="s">
        <v>167</v>
      </c>
      <c r="B96" s="71" t="s">
        <v>159</v>
      </c>
      <c r="C96" s="71" t="s">
        <v>15</v>
      </c>
      <c r="D96" s="72">
        <v>5109180</v>
      </c>
      <c r="E96" s="72" t="s">
        <v>160</v>
      </c>
      <c r="F96" s="35">
        <f t="shared" si="13"/>
        <v>0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 outlineLevel="1" x14ac:dyDescent="0.3">
      <c r="A97" s="34" t="s">
        <v>168</v>
      </c>
      <c r="B97" s="71" t="s">
        <v>159</v>
      </c>
      <c r="C97" s="71" t="s">
        <v>15</v>
      </c>
      <c r="D97" s="72">
        <v>5109190</v>
      </c>
      <c r="E97" s="72" t="s">
        <v>160</v>
      </c>
      <c r="F97" s="35">
        <f t="shared" si="13"/>
        <v>0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 outlineLevel="1" x14ac:dyDescent="0.3">
      <c r="A98" s="34" t="s">
        <v>169</v>
      </c>
      <c r="B98" s="71" t="s">
        <v>159</v>
      </c>
      <c r="C98" s="71" t="s">
        <v>15</v>
      </c>
      <c r="D98" s="72">
        <v>5109210</v>
      </c>
      <c r="E98" s="72" t="s">
        <v>160</v>
      </c>
      <c r="F98" s="35">
        <f t="shared" si="13"/>
        <v>0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 outlineLevel="1" x14ac:dyDescent="0.3">
      <c r="A99" s="34" t="s">
        <v>170</v>
      </c>
      <c r="B99" s="71" t="s">
        <v>159</v>
      </c>
      <c r="C99" s="71" t="s">
        <v>15</v>
      </c>
      <c r="D99" s="72">
        <v>5109220</v>
      </c>
      <c r="E99" s="72" t="s">
        <v>160</v>
      </c>
      <c r="F99" s="35">
        <f t="shared" si="13"/>
        <v>0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 x14ac:dyDescent="0.3">
      <c r="A100" s="26" t="s">
        <v>171</v>
      </c>
      <c r="B100" s="73" t="s">
        <v>7</v>
      </c>
      <c r="C100" s="73"/>
      <c r="D100" s="74"/>
      <c r="E100" s="74"/>
      <c r="F100" s="29">
        <f t="shared" ref="F100:R100" si="14">SUM(F101:F106)</f>
        <v>189600000</v>
      </c>
      <c r="G100" s="29">
        <f t="shared" si="14"/>
        <v>42000000</v>
      </c>
      <c r="H100" s="29">
        <f t="shared" si="14"/>
        <v>6000000</v>
      </c>
      <c r="I100" s="29">
        <f t="shared" si="14"/>
        <v>80000000</v>
      </c>
      <c r="J100" s="29">
        <f t="shared" si="14"/>
        <v>0</v>
      </c>
      <c r="K100" s="29">
        <f t="shared" si="14"/>
        <v>3800000</v>
      </c>
      <c r="L100" s="29">
        <f t="shared" si="14"/>
        <v>3250000</v>
      </c>
      <c r="M100" s="29">
        <f t="shared" si="14"/>
        <v>10250000</v>
      </c>
      <c r="N100" s="29">
        <f t="shared" si="14"/>
        <v>3250000</v>
      </c>
      <c r="O100" s="29">
        <f t="shared" si="14"/>
        <v>3250000</v>
      </c>
      <c r="P100" s="29">
        <f t="shared" si="14"/>
        <v>0</v>
      </c>
      <c r="Q100" s="29">
        <f t="shared" si="14"/>
        <v>3000000</v>
      </c>
      <c r="R100" s="29">
        <f t="shared" si="14"/>
        <v>34800000</v>
      </c>
    </row>
    <row r="101" spans="1:18" outlineLevel="1" x14ac:dyDescent="0.3">
      <c r="A101" s="34" t="s">
        <v>172</v>
      </c>
      <c r="B101" s="71" t="s">
        <v>173</v>
      </c>
      <c r="C101" s="71" t="s">
        <v>15</v>
      </c>
      <c r="D101" s="72">
        <v>5110110</v>
      </c>
      <c r="E101" s="72" t="s">
        <v>174</v>
      </c>
      <c r="F101" s="88">
        <f t="shared" ref="F101:F106" si="15">SUM(G101:R101)</f>
        <v>96600000</v>
      </c>
      <c r="G101" s="35">
        <v>10000000</v>
      </c>
      <c r="H101" s="35">
        <v>6000000</v>
      </c>
      <c r="I101" s="35">
        <v>50000000</v>
      </c>
      <c r="J101" s="35"/>
      <c r="K101" s="35">
        <v>3800000</v>
      </c>
      <c r="L101" s="100">
        <f>13250000-10000000</f>
        <v>3250000</v>
      </c>
      <c r="M101" s="35">
        <v>250000</v>
      </c>
      <c r="N101" s="35">
        <v>3250000</v>
      </c>
      <c r="O101" s="100">
        <f>13250000-10000000</f>
        <v>3250000</v>
      </c>
      <c r="P101" s="35"/>
      <c r="Q101" s="35">
        <v>3000000</v>
      </c>
      <c r="R101" s="35">
        <v>13800000</v>
      </c>
    </row>
    <row r="102" spans="1:18" outlineLevel="1" x14ac:dyDescent="0.3">
      <c r="A102" s="34" t="s">
        <v>175</v>
      </c>
      <c r="B102" s="71" t="s">
        <v>173</v>
      </c>
      <c r="C102" s="71" t="s">
        <v>15</v>
      </c>
      <c r="D102" s="72">
        <v>5110120</v>
      </c>
      <c r="E102" s="72" t="s">
        <v>174</v>
      </c>
      <c r="F102" s="35">
        <f t="shared" si="15"/>
        <v>0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 outlineLevel="1" x14ac:dyDescent="0.3">
      <c r="A103" s="34" t="s">
        <v>176</v>
      </c>
      <c r="B103" s="71" t="s">
        <v>173</v>
      </c>
      <c r="C103" s="71" t="s">
        <v>27</v>
      </c>
      <c r="D103" s="72">
        <v>5110130</v>
      </c>
      <c r="E103" s="72" t="s">
        <v>174</v>
      </c>
      <c r="F103" s="88">
        <f t="shared" si="15"/>
        <v>83000000</v>
      </c>
      <c r="G103" s="100">
        <f>42000000-10000000</f>
        <v>32000000</v>
      </c>
      <c r="H103" s="35"/>
      <c r="I103" s="35">
        <v>30000000</v>
      </c>
      <c r="J103" s="35"/>
      <c r="K103" s="35"/>
      <c r="L103" s="35"/>
      <c r="M103" s="35">
        <v>10000000</v>
      </c>
      <c r="N103" s="35"/>
      <c r="O103" s="35"/>
      <c r="P103" s="35"/>
      <c r="Q103" s="35"/>
      <c r="R103" s="100">
        <f>21000000-10000000</f>
        <v>11000000</v>
      </c>
    </row>
    <row r="104" spans="1:18" outlineLevel="1" x14ac:dyDescent="0.3">
      <c r="A104" s="34" t="s">
        <v>177</v>
      </c>
      <c r="B104" s="71" t="s">
        <v>173</v>
      </c>
      <c r="C104" s="71" t="s">
        <v>27</v>
      </c>
      <c r="D104" s="72">
        <v>5110140</v>
      </c>
      <c r="E104" s="72" t="s">
        <v>174</v>
      </c>
      <c r="F104" s="35">
        <f t="shared" si="15"/>
        <v>0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 outlineLevel="1" x14ac:dyDescent="0.3">
      <c r="A105" s="34" t="s">
        <v>178</v>
      </c>
      <c r="B105" s="71" t="s">
        <v>179</v>
      </c>
      <c r="C105" s="71" t="s">
        <v>15</v>
      </c>
      <c r="D105" s="72">
        <v>5110150</v>
      </c>
      <c r="E105" s="72" t="s">
        <v>180</v>
      </c>
      <c r="F105" s="88">
        <f t="shared" si="15"/>
        <v>10000000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>
        <v>10000000</v>
      </c>
    </row>
    <row r="106" spans="1:18" outlineLevel="1" x14ac:dyDescent="0.3">
      <c r="A106" s="34" t="s">
        <v>181</v>
      </c>
      <c r="B106" s="71" t="s">
        <v>179</v>
      </c>
      <c r="C106" s="71" t="s">
        <v>15</v>
      </c>
      <c r="D106" s="72" t="s">
        <v>182</v>
      </c>
      <c r="E106" s="72"/>
      <c r="F106" s="35">
        <f t="shared" si="15"/>
        <v>0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 x14ac:dyDescent="0.3">
      <c r="A107" s="26" t="s">
        <v>183</v>
      </c>
      <c r="B107" s="73" t="s">
        <v>7</v>
      </c>
      <c r="C107" s="73"/>
      <c r="D107" s="74"/>
      <c r="E107" s="74"/>
      <c r="F107" s="29">
        <f t="shared" ref="F107:R107" si="16">SUM(F108:F114)</f>
        <v>0</v>
      </c>
      <c r="G107" s="29">
        <f t="shared" si="16"/>
        <v>0</v>
      </c>
      <c r="H107" s="29">
        <f t="shared" si="16"/>
        <v>0</v>
      </c>
      <c r="I107" s="29">
        <f t="shared" si="16"/>
        <v>0</v>
      </c>
      <c r="J107" s="29">
        <f t="shared" si="16"/>
        <v>0</v>
      </c>
      <c r="K107" s="29">
        <f t="shared" si="16"/>
        <v>0</v>
      </c>
      <c r="L107" s="29">
        <f t="shared" si="16"/>
        <v>0</v>
      </c>
      <c r="M107" s="29">
        <f t="shared" si="16"/>
        <v>0</v>
      </c>
      <c r="N107" s="29">
        <f t="shared" si="16"/>
        <v>0</v>
      </c>
      <c r="O107" s="29">
        <f t="shared" si="16"/>
        <v>0</v>
      </c>
      <c r="P107" s="29">
        <f t="shared" si="16"/>
        <v>0</v>
      </c>
      <c r="Q107" s="29">
        <f t="shared" si="16"/>
        <v>0</v>
      </c>
      <c r="R107" s="29">
        <f t="shared" si="16"/>
        <v>0</v>
      </c>
    </row>
    <row r="108" spans="1:18" outlineLevel="1" x14ac:dyDescent="0.3">
      <c r="A108" s="34" t="s">
        <v>184</v>
      </c>
      <c r="B108" s="71" t="s">
        <v>185</v>
      </c>
      <c r="C108" s="71" t="s">
        <v>15</v>
      </c>
      <c r="D108" s="72">
        <v>5111110</v>
      </c>
      <c r="E108" s="72" t="s">
        <v>186</v>
      </c>
      <c r="F108" s="35">
        <f t="shared" ref="F108:F114" si="17">SUM(G108:R108)</f>
        <v>0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</row>
    <row r="109" spans="1:18" outlineLevel="1" x14ac:dyDescent="0.3">
      <c r="A109" s="34" t="s">
        <v>187</v>
      </c>
      <c r="B109" s="71" t="s">
        <v>185</v>
      </c>
      <c r="C109" s="71" t="s">
        <v>15</v>
      </c>
      <c r="D109" s="72">
        <v>5111120</v>
      </c>
      <c r="E109" s="72" t="s">
        <v>186</v>
      </c>
      <c r="F109" s="35">
        <f t="shared" si="17"/>
        <v>0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</row>
    <row r="110" spans="1:18" outlineLevel="1" x14ac:dyDescent="0.3">
      <c r="A110" s="34" t="s">
        <v>188</v>
      </c>
      <c r="B110" s="71" t="s">
        <v>185</v>
      </c>
      <c r="C110" s="71" t="s">
        <v>15</v>
      </c>
      <c r="D110" s="72">
        <v>5111130</v>
      </c>
      <c r="E110" s="72" t="s">
        <v>186</v>
      </c>
      <c r="F110" s="35">
        <f t="shared" si="17"/>
        <v>0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</row>
    <row r="111" spans="1:18" outlineLevel="1" x14ac:dyDescent="0.3">
      <c r="A111" s="34" t="s">
        <v>189</v>
      </c>
      <c r="B111" s="71" t="s">
        <v>185</v>
      </c>
      <c r="C111" s="71" t="s">
        <v>15</v>
      </c>
      <c r="D111" s="72">
        <v>5111140</v>
      </c>
      <c r="E111" s="72" t="s">
        <v>186</v>
      </c>
      <c r="F111" s="35">
        <f t="shared" si="17"/>
        <v>0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 outlineLevel="1" x14ac:dyDescent="0.3">
      <c r="A112" s="34" t="s">
        <v>190</v>
      </c>
      <c r="B112" s="71" t="s">
        <v>185</v>
      </c>
      <c r="C112" s="71" t="s">
        <v>15</v>
      </c>
      <c r="D112" s="72">
        <v>5111150</v>
      </c>
      <c r="E112" s="72" t="s">
        <v>186</v>
      </c>
      <c r="F112" s="35">
        <f t="shared" si="17"/>
        <v>0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 outlineLevel="1" x14ac:dyDescent="0.3">
      <c r="A113" s="34" t="s">
        <v>191</v>
      </c>
      <c r="B113" s="71" t="s">
        <v>185</v>
      </c>
      <c r="C113" s="71" t="s">
        <v>15</v>
      </c>
      <c r="D113" s="72">
        <v>5111160</v>
      </c>
      <c r="E113" s="72" t="s">
        <v>186</v>
      </c>
      <c r="F113" s="35">
        <f t="shared" si="17"/>
        <v>0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 outlineLevel="1" x14ac:dyDescent="0.3">
      <c r="A114" s="34" t="s">
        <v>192</v>
      </c>
      <c r="B114" s="71" t="s">
        <v>185</v>
      </c>
      <c r="C114" s="71" t="s">
        <v>15</v>
      </c>
      <c r="D114" s="72">
        <v>5111141</v>
      </c>
      <c r="E114" s="72" t="s">
        <v>186</v>
      </c>
      <c r="F114" s="35">
        <f t="shared" si="17"/>
        <v>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 x14ac:dyDescent="0.3">
      <c r="A115" s="26" t="s">
        <v>193</v>
      </c>
      <c r="B115" s="73" t="s">
        <v>7</v>
      </c>
      <c r="C115" s="73"/>
      <c r="D115" s="74"/>
      <c r="E115" s="74"/>
      <c r="F115" s="29">
        <f t="shared" ref="F115:R115" si="18">SUM(F116:F117)</f>
        <v>0</v>
      </c>
      <c r="G115" s="29">
        <f t="shared" si="18"/>
        <v>0</v>
      </c>
      <c r="H115" s="29">
        <f t="shared" si="18"/>
        <v>0</v>
      </c>
      <c r="I115" s="29">
        <f t="shared" si="18"/>
        <v>0</v>
      </c>
      <c r="J115" s="29">
        <f t="shared" si="18"/>
        <v>0</v>
      </c>
      <c r="K115" s="29">
        <f t="shared" si="18"/>
        <v>0</v>
      </c>
      <c r="L115" s="29">
        <f t="shared" si="18"/>
        <v>0</v>
      </c>
      <c r="M115" s="29">
        <f t="shared" si="18"/>
        <v>0</v>
      </c>
      <c r="N115" s="29">
        <f t="shared" si="18"/>
        <v>0</v>
      </c>
      <c r="O115" s="29">
        <f t="shared" si="18"/>
        <v>0</v>
      </c>
      <c r="P115" s="29">
        <f t="shared" si="18"/>
        <v>0</v>
      </c>
      <c r="Q115" s="29">
        <f t="shared" si="18"/>
        <v>0</v>
      </c>
      <c r="R115" s="29">
        <f t="shared" si="18"/>
        <v>0</v>
      </c>
    </row>
    <row r="116" spans="1:18" outlineLevel="1" x14ac:dyDescent="0.3">
      <c r="A116" s="34" t="s">
        <v>194</v>
      </c>
      <c r="B116" s="71" t="s">
        <v>195</v>
      </c>
      <c r="C116" s="71" t="s">
        <v>15</v>
      </c>
      <c r="D116" s="72">
        <v>5112110</v>
      </c>
      <c r="E116" s="72" t="s">
        <v>196</v>
      </c>
      <c r="F116" s="35">
        <f>SUM(G116:R116)</f>
        <v>0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 outlineLevel="1" x14ac:dyDescent="0.3">
      <c r="A117" s="34" t="s">
        <v>197</v>
      </c>
      <c r="B117" s="71" t="s">
        <v>197</v>
      </c>
      <c r="C117" s="71" t="s">
        <v>15</v>
      </c>
      <c r="D117" s="72">
        <v>5112120</v>
      </c>
      <c r="E117" s="72" t="s">
        <v>198</v>
      </c>
      <c r="F117" s="35">
        <f>SUM(G117:R117)</f>
        <v>0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 x14ac:dyDescent="0.3">
      <c r="A118" s="26" t="s">
        <v>199</v>
      </c>
      <c r="B118" s="73" t="s">
        <v>7</v>
      </c>
      <c r="C118" s="73"/>
      <c r="D118" s="74"/>
      <c r="E118" s="74"/>
      <c r="F118" s="29">
        <f t="shared" ref="F118:R118" si="19">SUM(F119:F127)</f>
        <v>0</v>
      </c>
      <c r="G118" s="29">
        <f t="shared" si="19"/>
        <v>0</v>
      </c>
      <c r="H118" s="29">
        <f t="shared" si="19"/>
        <v>0</v>
      </c>
      <c r="I118" s="29">
        <f t="shared" si="19"/>
        <v>0</v>
      </c>
      <c r="J118" s="29">
        <f t="shared" si="19"/>
        <v>0</v>
      </c>
      <c r="K118" s="29">
        <f t="shared" si="19"/>
        <v>0</v>
      </c>
      <c r="L118" s="29">
        <f t="shared" si="19"/>
        <v>0</v>
      </c>
      <c r="M118" s="29">
        <f t="shared" si="19"/>
        <v>0</v>
      </c>
      <c r="N118" s="29">
        <f t="shared" si="19"/>
        <v>0</v>
      </c>
      <c r="O118" s="29">
        <f t="shared" si="19"/>
        <v>0</v>
      </c>
      <c r="P118" s="29">
        <f t="shared" si="19"/>
        <v>0</v>
      </c>
      <c r="Q118" s="29">
        <f t="shared" si="19"/>
        <v>0</v>
      </c>
      <c r="R118" s="29">
        <f t="shared" si="19"/>
        <v>0</v>
      </c>
    </row>
    <row r="119" spans="1:18" outlineLevel="1" x14ac:dyDescent="0.3">
      <c r="A119" s="34" t="s">
        <v>200</v>
      </c>
      <c r="B119" s="71" t="s">
        <v>201</v>
      </c>
      <c r="C119" s="71" t="s">
        <v>27</v>
      </c>
      <c r="D119" s="72">
        <v>5113110</v>
      </c>
      <c r="E119" s="72" t="s">
        <v>202</v>
      </c>
      <c r="F119" s="35">
        <f t="shared" ref="F119:F127" si="20">SUM(G119:R119)</f>
        <v>0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 outlineLevel="1" x14ac:dyDescent="0.3">
      <c r="A120" s="34" t="s">
        <v>203</v>
      </c>
      <c r="B120" s="71" t="s">
        <v>204</v>
      </c>
      <c r="C120" s="71" t="s">
        <v>27</v>
      </c>
      <c r="D120" s="72">
        <v>5113120</v>
      </c>
      <c r="E120" s="72" t="s">
        <v>205</v>
      </c>
      <c r="F120" s="35">
        <f t="shared" si="20"/>
        <v>0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 outlineLevel="1" x14ac:dyDescent="0.3">
      <c r="A121" s="34" t="s">
        <v>206</v>
      </c>
      <c r="B121" s="71" t="s">
        <v>207</v>
      </c>
      <c r="C121" s="71" t="s">
        <v>27</v>
      </c>
      <c r="D121" s="72">
        <v>5113130</v>
      </c>
      <c r="E121" s="72" t="s">
        <v>208</v>
      </c>
      <c r="F121" s="35">
        <f t="shared" si="20"/>
        <v>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 outlineLevel="1" x14ac:dyDescent="0.3">
      <c r="A122" s="34" t="s">
        <v>209</v>
      </c>
      <c r="B122" s="71" t="s">
        <v>207</v>
      </c>
      <c r="C122" s="71" t="s">
        <v>27</v>
      </c>
      <c r="D122" s="72">
        <v>5113140</v>
      </c>
      <c r="E122" s="72" t="s">
        <v>208</v>
      </c>
      <c r="F122" s="35">
        <f t="shared" si="20"/>
        <v>0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 outlineLevel="1" x14ac:dyDescent="0.3">
      <c r="A123" s="34" t="s">
        <v>210</v>
      </c>
      <c r="B123" s="71" t="s">
        <v>211</v>
      </c>
      <c r="C123" s="71" t="s">
        <v>27</v>
      </c>
      <c r="D123" s="72">
        <v>5113150</v>
      </c>
      <c r="E123" s="72" t="s">
        <v>212</v>
      </c>
      <c r="F123" s="35">
        <f t="shared" si="20"/>
        <v>0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 outlineLevel="1" x14ac:dyDescent="0.3">
      <c r="A124" s="34" t="s">
        <v>213</v>
      </c>
      <c r="B124" s="71" t="s">
        <v>207</v>
      </c>
      <c r="C124" s="71" t="s">
        <v>27</v>
      </c>
      <c r="D124" s="72"/>
      <c r="E124" s="72" t="s">
        <v>208</v>
      </c>
      <c r="F124" s="35">
        <f t="shared" si="20"/>
        <v>0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 outlineLevel="1" x14ac:dyDescent="0.3">
      <c r="A125" s="34" t="s">
        <v>214</v>
      </c>
      <c r="B125" s="71" t="s">
        <v>207</v>
      </c>
      <c r="C125" s="71" t="s">
        <v>27</v>
      </c>
      <c r="D125" s="72">
        <v>5113170</v>
      </c>
      <c r="E125" s="72" t="s">
        <v>208</v>
      </c>
      <c r="F125" s="35">
        <f t="shared" si="20"/>
        <v>0</v>
      </c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 outlineLevel="1" x14ac:dyDescent="0.3">
      <c r="A126" s="34" t="s">
        <v>215</v>
      </c>
      <c r="B126" s="71" t="s">
        <v>7</v>
      </c>
      <c r="C126" s="71" t="s">
        <v>27</v>
      </c>
      <c r="D126" s="72">
        <v>5113210</v>
      </c>
      <c r="E126" s="72" t="s">
        <v>202</v>
      </c>
      <c r="F126" s="35">
        <f t="shared" si="20"/>
        <v>0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 outlineLevel="1" x14ac:dyDescent="0.3">
      <c r="A127" s="34" t="s">
        <v>216</v>
      </c>
      <c r="B127" s="75" t="s">
        <v>217</v>
      </c>
      <c r="C127" s="75" t="s">
        <v>27</v>
      </c>
      <c r="D127" s="72">
        <v>5113160</v>
      </c>
      <c r="E127" s="72" t="s">
        <v>208</v>
      </c>
      <c r="F127" s="35">
        <f t="shared" si="20"/>
        <v>0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 x14ac:dyDescent="0.3">
      <c r="A128" s="26" t="s">
        <v>218</v>
      </c>
      <c r="B128" s="73" t="s">
        <v>7</v>
      </c>
      <c r="C128" s="73"/>
      <c r="D128" s="74"/>
      <c r="E128" s="74"/>
      <c r="F128" s="29">
        <f t="shared" ref="F128:R128" si="21">F129</f>
        <v>0</v>
      </c>
      <c r="G128" s="29">
        <f t="shared" si="21"/>
        <v>0</v>
      </c>
      <c r="H128" s="29">
        <f t="shared" si="21"/>
        <v>0</v>
      </c>
      <c r="I128" s="29">
        <f t="shared" si="21"/>
        <v>0</v>
      </c>
      <c r="J128" s="29">
        <f t="shared" si="21"/>
        <v>0</v>
      </c>
      <c r="K128" s="29">
        <f t="shared" si="21"/>
        <v>0</v>
      </c>
      <c r="L128" s="29">
        <f t="shared" si="21"/>
        <v>0</v>
      </c>
      <c r="M128" s="29">
        <f t="shared" si="21"/>
        <v>0</v>
      </c>
      <c r="N128" s="29">
        <f t="shared" si="21"/>
        <v>0</v>
      </c>
      <c r="O128" s="29">
        <f t="shared" si="21"/>
        <v>0</v>
      </c>
      <c r="P128" s="29">
        <f t="shared" si="21"/>
        <v>0</v>
      </c>
      <c r="Q128" s="29">
        <f t="shared" si="21"/>
        <v>0</v>
      </c>
      <c r="R128" s="29">
        <f t="shared" si="21"/>
        <v>0</v>
      </c>
    </row>
    <row r="129" spans="1:18" outlineLevel="1" x14ac:dyDescent="0.3">
      <c r="A129" s="34" t="s">
        <v>219</v>
      </c>
      <c r="B129" s="71" t="s">
        <v>220</v>
      </c>
      <c r="C129" s="71" t="s">
        <v>15</v>
      </c>
      <c r="D129" s="72">
        <v>5115110</v>
      </c>
      <c r="E129" s="72" t="s">
        <v>221</v>
      </c>
      <c r="F129" s="35">
        <f>SUM(G129:R129)</f>
        <v>0</v>
      </c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 x14ac:dyDescent="0.3">
      <c r="A130" s="26" t="s">
        <v>222</v>
      </c>
      <c r="B130" s="73" t="s">
        <v>7</v>
      </c>
      <c r="C130" s="73"/>
      <c r="D130" s="74"/>
      <c r="E130" s="74"/>
      <c r="F130" s="29">
        <f t="shared" ref="F130:R130" si="22">SUM(F131:F137)</f>
        <v>0</v>
      </c>
      <c r="G130" s="29">
        <f t="shared" si="22"/>
        <v>0</v>
      </c>
      <c r="H130" s="29">
        <f t="shared" si="22"/>
        <v>0</v>
      </c>
      <c r="I130" s="29">
        <f t="shared" si="22"/>
        <v>0</v>
      </c>
      <c r="J130" s="29">
        <f t="shared" si="22"/>
        <v>0</v>
      </c>
      <c r="K130" s="29">
        <f t="shared" si="22"/>
        <v>0</v>
      </c>
      <c r="L130" s="29">
        <f t="shared" si="22"/>
        <v>0</v>
      </c>
      <c r="M130" s="29">
        <f t="shared" si="22"/>
        <v>0</v>
      </c>
      <c r="N130" s="29">
        <f t="shared" si="22"/>
        <v>0</v>
      </c>
      <c r="O130" s="29">
        <f t="shared" si="22"/>
        <v>0</v>
      </c>
      <c r="P130" s="29">
        <f t="shared" si="22"/>
        <v>0</v>
      </c>
      <c r="Q130" s="29">
        <f t="shared" si="22"/>
        <v>0</v>
      </c>
      <c r="R130" s="29">
        <f t="shared" si="22"/>
        <v>0</v>
      </c>
    </row>
    <row r="131" spans="1:18" outlineLevel="1" x14ac:dyDescent="0.3">
      <c r="A131" s="34" t="s">
        <v>223</v>
      </c>
      <c r="B131" s="71" t="s">
        <v>224</v>
      </c>
      <c r="C131" s="71" t="s">
        <v>15</v>
      </c>
      <c r="D131" s="72">
        <v>5116110</v>
      </c>
      <c r="E131" s="72" t="s">
        <v>225</v>
      </c>
      <c r="F131" s="35">
        <f t="shared" ref="F131:F137" si="23">SUM(G131:R131)</f>
        <v>0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 outlineLevel="1" x14ac:dyDescent="0.3">
      <c r="A132" s="34" t="s">
        <v>226</v>
      </c>
      <c r="B132" s="71" t="s">
        <v>224</v>
      </c>
      <c r="C132" s="71" t="s">
        <v>15</v>
      </c>
      <c r="D132" s="72">
        <v>5116120</v>
      </c>
      <c r="E132" s="72" t="s">
        <v>225</v>
      </c>
      <c r="F132" s="35">
        <f t="shared" si="23"/>
        <v>0</v>
      </c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 outlineLevel="1" x14ac:dyDescent="0.3">
      <c r="A133" s="34" t="s">
        <v>227</v>
      </c>
      <c r="B133" s="71" t="s">
        <v>228</v>
      </c>
      <c r="C133" s="71" t="s">
        <v>15</v>
      </c>
      <c r="D133" s="72">
        <v>5116130</v>
      </c>
      <c r="E133" s="72" t="s">
        <v>229</v>
      </c>
      <c r="F133" s="35">
        <f t="shared" si="23"/>
        <v>0</v>
      </c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</row>
    <row r="134" spans="1:18" outlineLevel="1" x14ac:dyDescent="0.3">
      <c r="A134" s="34" t="s">
        <v>230</v>
      </c>
      <c r="B134" s="71" t="s">
        <v>224</v>
      </c>
      <c r="C134" s="71" t="s">
        <v>15</v>
      </c>
      <c r="D134" s="72">
        <v>5116140</v>
      </c>
      <c r="E134" s="72" t="s">
        <v>225</v>
      </c>
      <c r="F134" s="35">
        <f t="shared" si="23"/>
        <v>0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 outlineLevel="1" x14ac:dyDescent="0.3">
      <c r="A135" s="34" t="s">
        <v>231</v>
      </c>
      <c r="B135" s="71" t="s">
        <v>228</v>
      </c>
      <c r="C135" s="71" t="s">
        <v>15</v>
      </c>
      <c r="D135" s="72">
        <v>5116150</v>
      </c>
      <c r="E135" s="72" t="s">
        <v>229</v>
      </c>
      <c r="F135" s="35">
        <f t="shared" si="23"/>
        <v>0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</row>
    <row r="136" spans="1:18" outlineLevel="1" x14ac:dyDescent="0.3">
      <c r="A136" s="34" t="s">
        <v>232</v>
      </c>
      <c r="B136" s="71" t="s">
        <v>224</v>
      </c>
      <c r="C136" s="71" t="s">
        <v>15</v>
      </c>
      <c r="D136" s="72">
        <v>5116160</v>
      </c>
      <c r="E136" s="72" t="s">
        <v>225</v>
      </c>
      <c r="F136" s="35">
        <f t="shared" si="23"/>
        <v>0</v>
      </c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 outlineLevel="1" x14ac:dyDescent="0.3">
      <c r="A137" s="34" t="s">
        <v>233</v>
      </c>
      <c r="B137" s="71" t="s">
        <v>224</v>
      </c>
      <c r="C137" s="71" t="s">
        <v>15</v>
      </c>
      <c r="D137" s="72">
        <v>5116111</v>
      </c>
      <c r="E137" s="72" t="s">
        <v>225</v>
      </c>
      <c r="F137" s="35">
        <f t="shared" si="23"/>
        <v>0</v>
      </c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</row>
    <row r="138" spans="1:18" x14ac:dyDescent="0.3">
      <c r="A138" s="26" t="s">
        <v>234</v>
      </c>
      <c r="B138" s="73" t="s">
        <v>7</v>
      </c>
      <c r="C138" s="73"/>
      <c r="D138" s="74"/>
      <c r="E138" s="74"/>
      <c r="F138" s="29">
        <f t="shared" ref="F138:R138" si="24">F139</f>
        <v>0</v>
      </c>
      <c r="G138" s="29">
        <f t="shared" si="24"/>
        <v>0</v>
      </c>
      <c r="H138" s="29">
        <f t="shared" si="24"/>
        <v>0</v>
      </c>
      <c r="I138" s="29">
        <f t="shared" si="24"/>
        <v>0</v>
      </c>
      <c r="J138" s="29">
        <f t="shared" si="24"/>
        <v>0</v>
      </c>
      <c r="K138" s="29">
        <f t="shared" si="24"/>
        <v>0</v>
      </c>
      <c r="L138" s="29">
        <f t="shared" si="24"/>
        <v>0</v>
      </c>
      <c r="M138" s="29">
        <f t="shared" si="24"/>
        <v>0</v>
      </c>
      <c r="N138" s="29">
        <f t="shared" si="24"/>
        <v>0</v>
      </c>
      <c r="O138" s="29">
        <f t="shared" si="24"/>
        <v>0</v>
      </c>
      <c r="P138" s="29">
        <f t="shared" si="24"/>
        <v>0</v>
      </c>
      <c r="Q138" s="29">
        <f t="shared" si="24"/>
        <v>0</v>
      </c>
      <c r="R138" s="29">
        <f t="shared" si="24"/>
        <v>0</v>
      </c>
    </row>
    <row r="139" spans="1:18" outlineLevel="1" x14ac:dyDescent="0.3">
      <c r="A139" s="34" t="s">
        <v>235</v>
      </c>
      <c r="B139" s="71" t="s">
        <v>236</v>
      </c>
      <c r="C139" s="71" t="s">
        <v>15</v>
      </c>
      <c r="D139" s="72">
        <v>5117110</v>
      </c>
      <c r="E139" s="72" t="s">
        <v>237</v>
      </c>
      <c r="F139" s="35">
        <f>SUM(G139:R139)</f>
        <v>0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</row>
    <row r="140" spans="1:18" x14ac:dyDescent="0.3">
      <c r="A140" s="26" t="s">
        <v>238</v>
      </c>
      <c r="B140" s="73" t="s">
        <v>7</v>
      </c>
      <c r="C140" s="73"/>
      <c r="D140" s="74"/>
      <c r="E140" s="74"/>
      <c r="F140" s="29">
        <f t="shared" ref="F140:R140" si="25">SUM(F141:F145)</f>
        <v>0</v>
      </c>
      <c r="G140" s="29">
        <f t="shared" si="25"/>
        <v>0</v>
      </c>
      <c r="H140" s="29">
        <f t="shared" si="25"/>
        <v>0</v>
      </c>
      <c r="I140" s="29">
        <f t="shared" si="25"/>
        <v>0</v>
      </c>
      <c r="J140" s="29">
        <f t="shared" si="25"/>
        <v>0</v>
      </c>
      <c r="K140" s="29">
        <f t="shared" si="25"/>
        <v>0</v>
      </c>
      <c r="L140" s="29">
        <f t="shared" si="25"/>
        <v>0</v>
      </c>
      <c r="M140" s="29">
        <f t="shared" si="25"/>
        <v>0</v>
      </c>
      <c r="N140" s="29">
        <f t="shared" si="25"/>
        <v>0</v>
      </c>
      <c r="O140" s="29">
        <f t="shared" si="25"/>
        <v>0</v>
      </c>
      <c r="P140" s="29">
        <f t="shared" si="25"/>
        <v>0</v>
      </c>
      <c r="Q140" s="29">
        <f t="shared" si="25"/>
        <v>0</v>
      </c>
      <c r="R140" s="29">
        <f t="shared" si="25"/>
        <v>0</v>
      </c>
    </row>
    <row r="141" spans="1:18" outlineLevel="1" x14ac:dyDescent="0.3">
      <c r="A141" s="34" t="s">
        <v>239</v>
      </c>
      <c r="B141" s="71" t="s">
        <v>240</v>
      </c>
      <c r="C141" s="71" t="s">
        <v>15</v>
      </c>
      <c r="D141" s="72">
        <v>5118110</v>
      </c>
      <c r="E141" s="72" t="s">
        <v>241</v>
      </c>
      <c r="F141" s="35">
        <f>SUM(G141:R141)</f>
        <v>0</v>
      </c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</row>
    <row r="142" spans="1:18" outlineLevel="1" x14ac:dyDescent="0.3">
      <c r="A142" s="34" t="s">
        <v>242</v>
      </c>
      <c r="B142" s="71" t="s">
        <v>243</v>
      </c>
      <c r="C142" s="71" t="s">
        <v>15</v>
      </c>
      <c r="D142" s="72">
        <v>5118120</v>
      </c>
      <c r="E142" s="72" t="s">
        <v>244</v>
      </c>
      <c r="F142" s="35">
        <f>SUM(G142:R142)</f>
        <v>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</row>
    <row r="143" spans="1:18" outlineLevel="1" x14ac:dyDescent="0.3">
      <c r="A143" s="34" t="s">
        <v>245</v>
      </c>
      <c r="B143" s="71" t="s">
        <v>246</v>
      </c>
      <c r="C143" s="71" t="s">
        <v>15</v>
      </c>
      <c r="D143" s="72">
        <v>5118130</v>
      </c>
      <c r="E143" s="72" t="s">
        <v>247</v>
      </c>
      <c r="F143" s="35">
        <f>SUM(G143:R143)</f>
        <v>0</v>
      </c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</row>
    <row r="144" spans="1:18" outlineLevel="1" x14ac:dyDescent="0.3">
      <c r="A144" s="34" t="s">
        <v>248</v>
      </c>
      <c r="B144" s="71" t="s">
        <v>7</v>
      </c>
      <c r="C144" s="71" t="s">
        <v>15</v>
      </c>
      <c r="D144" s="72">
        <v>5118140</v>
      </c>
      <c r="E144" s="72" t="s">
        <v>249</v>
      </c>
      <c r="F144" s="35">
        <f>SUM(G144:R144)</f>
        <v>0</v>
      </c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</row>
    <row r="145" spans="1:18" outlineLevel="1" x14ac:dyDescent="0.3">
      <c r="A145" s="34" t="s">
        <v>250</v>
      </c>
      <c r="B145" s="71" t="s">
        <v>7</v>
      </c>
      <c r="C145" s="71" t="s">
        <v>15</v>
      </c>
      <c r="D145" s="72">
        <v>5118150</v>
      </c>
      <c r="E145" s="72" t="s">
        <v>251</v>
      </c>
      <c r="F145" s="35">
        <f>SUM(G145:R145)</f>
        <v>0</v>
      </c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</row>
    <row r="146" spans="1:18" x14ac:dyDescent="0.3">
      <c r="A146" s="26" t="s">
        <v>252</v>
      </c>
      <c r="B146" s="73" t="s">
        <v>7</v>
      </c>
      <c r="C146" s="73"/>
      <c r="D146" s="74"/>
      <c r="E146" s="74"/>
      <c r="F146" s="29">
        <f t="shared" ref="F146:R146" si="26">SUM(F147:F148)</f>
        <v>864000</v>
      </c>
      <c r="G146" s="29">
        <f t="shared" si="26"/>
        <v>72000</v>
      </c>
      <c r="H146" s="29">
        <f t="shared" si="26"/>
        <v>72000</v>
      </c>
      <c r="I146" s="29">
        <f t="shared" si="26"/>
        <v>72000</v>
      </c>
      <c r="J146" s="29">
        <f t="shared" si="26"/>
        <v>72000</v>
      </c>
      <c r="K146" s="29">
        <f t="shared" si="26"/>
        <v>72000</v>
      </c>
      <c r="L146" s="29">
        <f t="shared" si="26"/>
        <v>72000</v>
      </c>
      <c r="M146" s="29">
        <f t="shared" si="26"/>
        <v>72000</v>
      </c>
      <c r="N146" s="29">
        <f t="shared" si="26"/>
        <v>72000</v>
      </c>
      <c r="O146" s="29">
        <f t="shared" si="26"/>
        <v>72000</v>
      </c>
      <c r="P146" s="29">
        <f t="shared" si="26"/>
        <v>72000</v>
      </c>
      <c r="Q146" s="29">
        <f t="shared" si="26"/>
        <v>72000</v>
      </c>
      <c r="R146" s="29">
        <f t="shared" si="26"/>
        <v>72000</v>
      </c>
    </row>
    <row r="147" spans="1:18" outlineLevel="1" x14ac:dyDescent="0.3">
      <c r="A147" s="34" t="s">
        <v>253</v>
      </c>
      <c r="B147" s="71" t="s">
        <v>254</v>
      </c>
      <c r="C147" s="71" t="s">
        <v>15</v>
      </c>
      <c r="D147" s="72">
        <v>5130110</v>
      </c>
      <c r="E147" s="72" t="s">
        <v>249</v>
      </c>
      <c r="F147" s="35">
        <f>SUM(G147:R147)</f>
        <v>0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</row>
    <row r="148" spans="1:18" outlineLevel="1" x14ac:dyDescent="0.3">
      <c r="A148" s="34" t="s">
        <v>255</v>
      </c>
      <c r="B148" s="71" t="s">
        <v>256</v>
      </c>
      <c r="C148" s="71" t="s">
        <v>15</v>
      </c>
      <c r="D148" s="72">
        <v>5130120</v>
      </c>
      <c r="E148" s="72" t="s">
        <v>251</v>
      </c>
      <c r="F148" s="35">
        <f>SUM(G148:R148)</f>
        <v>864000</v>
      </c>
      <c r="G148" s="35">
        <v>72000</v>
      </c>
      <c r="H148" s="35">
        <v>72000</v>
      </c>
      <c r="I148" s="35">
        <v>72000</v>
      </c>
      <c r="J148" s="35">
        <v>72000</v>
      </c>
      <c r="K148" s="35">
        <v>72000</v>
      </c>
      <c r="L148" s="35">
        <v>72000</v>
      </c>
      <c r="M148" s="35">
        <v>72000</v>
      </c>
      <c r="N148" s="35">
        <v>72000</v>
      </c>
      <c r="O148" s="35">
        <v>72000</v>
      </c>
      <c r="P148" s="35">
        <v>72000</v>
      </c>
      <c r="Q148" s="35">
        <v>72000</v>
      </c>
      <c r="R148" s="35">
        <v>72000</v>
      </c>
    </row>
    <row r="149" spans="1:18" x14ac:dyDescent="0.3">
      <c r="A149" s="26" t="s">
        <v>257</v>
      </c>
      <c r="B149" s="73" t="s">
        <v>7</v>
      </c>
      <c r="C149" s="73"/>
      <c r="D149" s="74"/>
      <c r="E149" s="74"/>
      <c r="F149" s="29">
        <f t="shared" ref="F149:R149" si="27">SUM(F150:F157)</f>
        <v>2000000</v>
      </c>
      <c r="G149" s="29">
        <f t="shared" si="27"/>
        <v>200000</v>
      </c>
      <c r="H149" s="29">
        <f t="shared" si="27"/>
        <v>200000</v>
      </c>
      <c r="I149" s="29">
        <f t="shared" si="27"/>
        <v>100000</v>
      </c>
      <c r="J149" s="29">
        <f t="shared" si="27"/>
        <v>200000</v>
      </c>
      <c r="K149" s="29">
        <f t="shared" si="27"/>
        <v>200000</v>
      </c>
      <c r="L149" s="29">
        <f t="shared" si="27"/>
        <v>100000</v>
      </c>
      <c r="M149" s="29">
        <f t="shared" si="27"/>
        <v>200000</v>
      </c>
      <c r="N149" s="29">
        <f t="shared" si="27"/>
        <v>200000</v>
      </c>
      <c r="O149" s="29">
        <f t="shared" si="27"/>
        <v>100000</v>
      </c>
      <c r="P149" s="29">
        <f t="shared" si="27"/>
        <v>200000</v>
      </c>
      <c r="Q149" s="29">
        <f t="shared" si="27"/>
        <v>200000</v>
      </c>
      <c r="R149" s="29">
        <f t="shared" si="27"/>
        <v>100000</v>
      </c>
    </row>
    <row r="150" spans="1:18" outlineLevel="1" x14ac:dyDescent="0.3">
      <c r="A150" s="34" t="s">
        <v>258</v>
      </c>
      <c r="B150" s="71" t="s">
        <v>259</v>
      </c>
      <c r="C150" s="71" t="s">
        <v>15</v>
      </c>
      <c r="D150" s="72">
        <v>5119110</v>
      </c>
      <c r="E150" s="72" t="s">
        <v>260</v>
      </c>
      <c r="F150" s="35">
        <f t="shared" ref="F150:F157" si="28">SUM(G150:R150)</f>
        <v>0</v>
      </c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</row>
    <row r="151" spans="1:18" outlineLevel="1" x14ac:dyDescent="0.3">
      <c r="A151" s="34" t="s">
        <v>261</v>
      </c>
      <c r="B151" s="71" t="s">
        <v>262</v>
      </c>
      <c r="C151" s="71" t="s">
        <v>15</v>
      </c>
      <c r="D151" s="72">
        <v>5119120</v>
      </c>
      <c r="E151" s="72" t="s">
        <v>263</v>
      </c>
      <c r="F151" s="35">
        <f t="shared" si="28"/>
        <v>0</v>
      </c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</row>
    <row r="152" spans="1:18" outlineLevel="1" x14ac:dyDescent="0.3">
      <c r="A152" s="34" t="s">
        <v>264</v>
      </c>
      <c r="B152" s="71" t="s">
        <v>265</v>
      </c>
      <c r="C152" s="71" t="s">
        <v>15</v>
      </c>
      <c r="D152" s="72">
        <v>5119130</v>
      </c>
      <c r="E152" s="72" t="s">
        <v>266</v>
      </c>
      <c r="F152" s="35">
        <f t="shared" si="28"/>
        <v>0</v>
      </c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1:18" outlineLevel="1" x14ac:dyDescent="0.3">
      <c r="A153" s="34" t="s">
        <v>267</v>
      </c>
      <c r="B153" s="71" t="s">
        <v>268</v>
      </c>
      <c r="C153" s="71" t="s">
        <v>15</v>
      </c>
      <c r="D153" s="72">
        <v>5119140</v>
      </c>
      <c r="E153" s="72" t="s">
        <v>269</v>
      </c>
      <c r="F153" s="35">
        <f t="shared" si="28"/>
        <v>0</v>
      </c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</row>
    <row r="154" spans="1:18" outlineLevel="1" x14ac:dyDescent="0.3">
      <c r="A154" s="34" t="s">
        <v>270</v>
      </c>
      <c r="B154" s="71" t="s">
        <v>271</v>
      </c>
      <c r="C154" s="71" t="s">
        <v>15</v>
      </c>
      <c r="D154" s="72">
        <v>5119150</v>
      </c>
      <c r="E154" s="72" t="s">
        <v>272</v>
      </c>
      <c r="F154" s="35">
        <f t="shared" si="28"/>
        <v>2000000</v>
      </c>
      <c r="G154" s="35">
        <v>200000</v>
      </c>
      <c r="H154" s="35">
        <v>200000</v>
      </c>
      <c r="I154" s="35">
        <v>100000</v>
      </c>
      <c r="J154" s="35">
        <v>200000</v>
      </c>
      <c r="K154" s="35">
        <v>200000</v>
      </c>
      <c r="L154" s="35">
        <v>100000</v>
      </c>
      <c r="M154" s="35">
        <v>200000</v>
      </c>
      <c r="N154" s="35">
        <v>200000</v>
      </c>
      <c r="O154" s="35">
        <v>100000</v>
      </c>
      <c r="P154" s="35">
        <v>200000</v>
      </c>
      <c r="Q154" s="35">
        <v>200000</v>
      </c>
      <c r="R154" s="35">
        <v>100000</v>
      </c>
    </row>
    <row r="155" spans="1:18" outlineLevel="1" x14ac:dyDescent="0.3">
      <c r="A155" s="34" t="s">
        <v>273</v>
      </c>
      <c r="B155" s="71" t="s">
        <v>274</v>
      </c>
      <c r="C155" s="71" t="s">
        <v>15</v>
      </c>
      <c r="D155" s="72">
        <v>5119160</v>
      </c>
      <c r="E155" s="72" t="s">
        <v>275</v>
      </c>
      <c r="F155" s="35">
        <f t="shared" si="28"/>
        <v>0</v>
      </c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</row>
    <row r="156" spans="1:18" outlineLevel="1" x14ac:dyDescent="0.3">
      <c r="A156" s="34" t="s">
        <v>276</v>
      </c>
      <c r="B156" s="71" t="s">
        <v>276</v>
      </c>
      <c r="C156" s="71" t="s">
        <v>15</v>
      </c>
      <c r="D156" s="72">
        <v>5119121</v>
      </c>
      <c r="E156" s="72" t="s">
        <v>277</v>
      </c>
      <c r="F156" s="35">
        <f t="shared" si="28"/>
        <v>0</v>
      </c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1:18" outlineLevel="1" x14ac:dyDescent="0.3">
      <c r="A157" s="34" t="s">
        <v>278</v>
      </c>
      <c r="B157" s="75" t="s">
        <v>279</v>
      </c>
      <c r="C157" s="75" t="s">
        <v>15</v>
      </c>
      <c r="D157" s="72">
        <v>5119151</v>
      </c>
      <c r="E157" s="72" t="s">
        <v>272</v>
      </c>
      <c r="F157" s="35">
        <f t="shared" si="28"/>
        <v>0</v>
      </c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</row>
    <row r="158" spans="1:18" x14ac:dyDescent="0.3">
      <c r="A158" s="26" t="s">
        <v>280</v>
      </c>
      <c r="B158" s="73" t="s">
        <v>7</v>
      </c>
      <c r="C158" s="73"/>
      <c r="D158" s="74"/>
      <c r="E158" s="74"/>
      <c r="F158" s="29">
        <f t="shared" ref="F158:R158" si="29">SUM(F159:F162)</f>
        <v>439600000</v>
      </c>
      <c r="G158" s="29">
        <f t="shared" si="29"/>
        <v>26000000</v>
      </c>
      <c r="H158" s="29">
        <f t="shared" si="29"/>
        <v>29600000</v>
      </c>
      <c r="I158" s="29">
        <f t="shared" si="29"/>
        <v>96900000</v>
      </c>
      <c r="J158" s="29">
        <f t="shared" si="29"/>
        <v>20400000</v>
      </c>
      <c r="K158" s="29">
        <f t="shared" si="29"/>
        <v>4500000</v>
      </c>
      <c r="L158" s="29">
        <f t="shared" si="29"/>
        <v>50500000</v>
      </c>
      <c r="M158" s="29">
        <f t="shared" si="29"/>
        <v>8800000</v>
      </c>
      <c r="N158" s="29">
        <f t="shared" si="29"/>
        <v>6500000</v>
      </c>
      <c r="O158" s="29">
        <f t="shared" si="29"/>
        <v>95200000</v>
      </c>
      <c r="P158" s="29">
        <f t="shared" si="29"/>
        <v>8400000</v>
      </c>
      <c r="Q158" s="29">
        <f t="shared" si="29"/>
        <v>5500000</v>
      </c>
      <c r="R158" s="29">
        <f t="shared" si="29"/>
        <v>87300000</v>
      </c>
    </row>
    <row r="159" spans="1:18" outlineLevel="1" x14ac:dyDescent="0.3">
      <c r="A159" s="34" t="s">
        <v>281</v>
      </c>
      <c r="B159" s="71" t="s">
        <v>282</v>
      </c>
      <c r="C159" s="71" t="s">
        <v>27</v>
      </c>
      <c r="D159" s="72">
        <v>5120110</v>
      </c>
      <c r="E159" s="72" t="s">
        <v>283</v>
      </c>
      <c r="F159" s="88">
        <f>SUM(G159:R159)</f>
        <v>5500000</v>
      </c>
      <c r="G159" s="35"/>
      <c r="H159" s="35">
        <v>4500000</v>
      </c>
      <c r="I159" s="35"/>
      <c r="J159" s="35"/>
      <c r="K159" s="35"/>
      <c r="L159" s="35"/>
      <c r="M159" s="35"/>
      <c r="N159" s="35"/>
      <c r="O159" s="35"/>
      <c r="P159" s="35"/>
      <c r="Q159" s="35">
        <v>1000000</v>
      </c>
      <c r="R159" s="35"/>
    </row>
    <row r="160" spans="1:18" outlineLevel="1" x14ac:dyDescent="0.3">
      <c r="A160" s="40" t="s">
        <v>284</v>
      </c>
      <c r="B160" s="71" t="s">
        <v>282</v>
      </c>
      <c r="C160" s="71" t="s">
        <v>27</v>
      </c>
      <c r="D160" s="72">
        <v>5120140</v>
      </c>
      <c r="E160" s="72" t="s">
        <v>283</v>
      </c>
      <c r="F160" s="35">
        <f>SUM(G160:R160)</f>
        <v>0</v>
      </c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</row>
    <row r="161" spans="1:18" outlineLevel="1" x14ac:dyDescent="0.3">
      <c r="A161" s="40" t="s">
        <v>285</v>
      </c>
      <c r="B161" s="71" t="s">
        <v>282</v>
      </c>
      <c r="C161" s="71" t="s">
        <v>27</v>
      </c>
      <c r="D161" s="72">
        <v>5120130</v>
      </c>
      <c r="E161" s="72" t="s">
        <v>283</v>
      </c>
      <c r="F161" s="35">
        <f>SUM(G161:R161)</f>
        <v>0</v>
      </c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</row>
    <row r="162" spans="1:18" outlineLevel="1" x14ac:dyDescent="0.3">
      <c r="A162" s="34" t="s">
        <v>286</v>
      </c>
      <c r="B162" s="71" t="s">
        <v>282</v>
      </c>
      <c r="C162" s="71" t="s">
        <v>27</v>
      </c>
      <c r="D162" s="72">
        <v>5120120</v>
      </c>
      <c r="E162" s="72" t="s">
        <v>283</v>
      </c>
      <c r="F162" s="88">
        <f>SUM(G162:R162)</f>
        <v>434100000</v>
      </c>
      <c r="G162" s="35">
        <v>26000000</v>
      </c>
      <c r="H162" s="35">
        <v>25100000</v>
      </c>
      <c r="I162" s="35">
        <v>96900000</v>
      </c>
      <c r="J162" s="35">
        <v>20400000</v>
      </c>
      <c r="K162" s="35">
        <v>4500000</v>
      </c>
      <c r="L162" s="35">
        <v>50500000</v>
      </c>
      <c r="M162" s="35">
        <v>8800000</v>
      </c>
      <c r="N162" s="35">
        <v>6500000</v>
      </c>
      <c r="O162" s="35">
        <v>95200000</v>
      </c>
      <c r="P162" s="35">
        <v>8400000</v>
      </c>
      <c r="Q162" s="35">
        <v>4500000</v>
      </c>
      <c r="R162" s="35">
        <v>87300000</v>
      </c>
    </row>
    <row r="163" spans="1:18" x14ac:dyDescent="0.3">
      <c r="A163" s="26" t="s">
        <v>287</v>
      </c>
      <c r="B163" s="73" t="s">
        <v>7</v>
      </c>
      <c r="C163" s="73"/>
      <c r="D163" s="74"/>
      <c r="E163" s="74"/>
      <c r="F163" s="29">
        <f t="shared" ref="F163:R163" si="30">SUM(F164:F167)</f>
        <v>79350000</v>
      </c>
      <c r="G163" s="29">
        <f t="shared" si="30"/>
        <v>3150000</v>
      </c>
      <c r="H163" s="29">
        <f t="shared" si="30"/>
        <v>850000</v>
      </c>
      <c r="I163" s="29">
        <f t="shared" si="30"/>
        <v>7550000</v>
      </c>
      <c r="J163" s="29">
        <f t="shared" si="30"/>
        <v>450000</v>
      </c>
      <c r="K163" s="29">
        <f t="shared" si="30"/>
        <v>10450000</v>
      </c>
      <c r="L163" s="29">
        <f t="shared" si="30"/>
        <v>11850000</v>
      </c>
      <c r="M163" s="29">
        <f t="shared" si="30"/>
        <v>3650000</v>
      </c>
      <c r="N163" s="29">
        <f t="shared" si="30"/>
        <v>450000</v>
      </c>
      <c r="O163" s="29">
        <f t="shared" si="30"/>
        <v>13250000</v>
      </c>
      <c r="P163" s="29">
        <f t="shared" si="30"/>
        <v>15800000</v>
      </c>
      <c r="Q163" s="29">
        <f t="shared" si="30"/>
        <v>450000</v>
      </c>
      <c r="R163" s="29">
        <f t="shared" si="30"/>
        <v>11450000</v>
      </c>
    </row>
    <row r="164" spans="1:18" outlineLevel="1" x14ac:dyDescent="0.3">
      <c r="A164" s="34" t="s">
        <v>288</v>
      </c>
      <c r="B164" s="71" t="s">
        <v>288</v>
      </c>
      <c r="C164" s="71" t="s">
        <v>15</v>
      </c>
      <c r="D164" s="72">
        <v>5121110</v>
      </c>
      <c r="E164" s="72" t="s">
        <v>289</v>
      </c>
      <c r="F164" s="35">
        <f>SUM(G164:R164)</f>
        <v>0</v>
      </c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</row>
    <row r="165" spans="1:18" outlineLevel="1" x14ac:dyDescent="0.3">
      <c r="A165" s="34" t="s">
        <v>290</v>
      </c>
      <c r="B165" s="71" t="s">
        <v>290</v>
      </c>
      <c r="C165" s="71" t="s">
        <v>15</v>
      </c>
      <c r="D165" s="72">
        <v>5121120</v>
      </c>
      <c r="E165" s="72" t="s">
        <v>291</v>
      </c>
      <c r="F165" s="35">
        <f>SUM(G165:R165)</f>
        <v>0</v>
      </c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</row>
    <row r="166" spans="1:18" outlineLevel="1" x14ac:dyDescent="0.3">
      <c r="A166" s="34" t="s">
        <v>292</v>
      </c>
      <c r="B166" s="71" t="s">
        <v>292</v>
      </c>
      <c r="C166" s="71" t="s">
        <v>27</v>
      </c>
      <c r="D166" s="72">
        <v>5121140</v>
      </c>
      <c r="E166" s="72" t="s">
        <v>293</v>
      </c>
      <c r="F166" s="35">
        <f>SUM(G166:R166)</f>
        <v>0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</row>
    <row r="167" spans="1:18" outlineLevel="1" x14ac:dyDescent="0.3">
      <c r="A167" s="34" t="s">
        <v>294</v>
      </c>
      <c r="B167" s="71" t="s">
        <v>295</v>
      </c>
      <c r="C167" s="71" t="s">
        <v>15</v>
      </c>
      <c r="D167" s="72">
        <v>5121150</v>
      </c>
      <c r="E167" s="72" t="s">
        <v>296</v>
      </c>
      <c r="F167" s="35">
        <f>SUM(G167:R167)</f>
        <v>79350000</v>
      </c>
      <c r="G167" s="35">
        <v>3150000</v>
      </c>
      <c r="H167" s="35">
        <v>850000</v>
      </c>
      <c r="I167" s="35">
        <v>7550000</v>
      </c>
      <c r="J167" s="35">
        <v>450000</v>
      </c>
      <c r="K167" s="35">
        <v>10450000</v>
      </c>
      <c r="L167" s="35">
        <v>11850000</v>
      </c>
      <c r="M167" s="35">
        <v>3650000</v>
      </c>
      <c r="N167" s="35">
        <v>450000</v>
      </c>
      <c r="O167" s="35">
        <v>13250000</v>
      </c>
      <c r="P167" s="35">
        <v>15800000</v>
      </c>
      <c r="Q167" s="35">
        <v>450000</v>
      </c>
      <c r="R167" s="35">
        <v>11450000</v>
      </c>
    </row>
    <row r="168" spans="1:18" x14ac:dyDescent="0.3">
      <c r="A168" s="26" t="s">
        <v>297</v>
      </c>
      <c r="B168" s="73" t="s">
        <v>7</v>
      </c>
      <c r="C168" s="73"/>
      <c r="D168" s="74"/>
      <c r="E168" s="74"/>
      <c r="F168" s="29">
        <f t="shared" ref="F168:R168" si="31">SUM(F169:F172)</f>
        <v>0</v>
      </c>
      <c r="G168" s="29">
        <f t="shared" si="31"/>
        <v>0</v>
      </c>
      <c r="H168" s="29">
        <f t="shared" si="31"/>
        <v>0</v>
      </c>
      <c r="I168" s="29">
        <f t="shared" si="31"/>
        <v>0</v>
      </c>
      <c r="J168" s="29">
        <f t="shared" si="31"/>
        <v>0</v>
      </c>
      <c r="K168" s="29">
        <f t="shared" si="31"/>
        <v>0</v>
      </c>
      <c r="L168" s="29">
        <f t="shared" si="31"/>
        <v>0</v>
      </c>
      <c r="M168" s="29">
        <f t="shared" si="31"/>
        <v>0</v>
      </c>
      <c r="N168" s="29">
        <f t="shared" si="31"/>
        <v>0</v>
      </c>
      <c r="O168" s="29">
        <f t="shared" si="31"/>
        <v>0</v>
      </c>
      <c r="P168" s="29">
        <f t="shared" si="31"/>
        <v>0</v>
      </c>
      <c r="Q168" s="29">
        <f t="shared" si="31"/>
        <v>0</v>
      </c>
      <c r="R168" s="29">
        <f t="shared" si="31"/>
        <v>0</v>
      </c>
    </row>
    <row r="169" spans="1:18" outlineLevel="1" x14ac:dyDescent="0.3">
      <c r="A169" s="34" t="s">
        <v>298</v>
      </c>
      <c r="B169" s="71" t="s">
        <v>299</v>
      </c>
      <c r="C169" s="71" t="s">
        <v>27</v>
      </c>
      <c r="D169" s="72">
        <v>5122110</v>
      </c>
      <c r="E169" s="72" t="s">
        <v>300</v>
      </c>
      <c r="F169" s="35">
        <f>SUM(G169:R169)</f>
        <v>0</v>
      </c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</row>
    <row r="170" spans="1:18" outlineLevel="1" x14ac:dyDescent="0.3">
      <c r="A170" s="34" t="s">
        <v>301</v>
      </c>
      <c r="B170" s="71" t="s">
        <v>302</v>
      </c>
      <c r="C170" s="71" t="s">
        <v>15</v>
      </c>
      <c r="D170" s="72">
        <v>5122120</v>
      </c>
      <c r="E170" s="72" t="s">
        <v>303</v>
      </c>
      <c r="F170" s="35">
        <f>SUM(G170:R170)</f>
        <v>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</row>
    <row r="171" spans="1:18" outlineLevel="1" x14ac:dyDescent="0.3">
      <c r="A171" s="40" t="s">
        <v>304</v>
      </c>
      <c r="B171" s="71" t="s">
        <v>305</v>
      </c>
      <c r="C171" s="71" t="s">
        <v>15</v>
      </c>
      <c r="D171" s="72">
        <v>5122130</v>
      </c>
      <c r="E171" s="72" t="s">
        <v>306</v>
      </c>
      <c r="F171" s="35">
        <f>SUM(G171:R171)</f>
        <v>0</v>
      </c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</row>
    <row r="172" spans="1:18" outlineLevel="1" x14ac:dyDescent="0.3">
      <c r="A172" s="34" t="s">
        <v>307</v>
      </c>
      <c r="B172" s="71" t="s">
        <v>308</v>
      </c>
      <c r="C172" s="71" t="s">
        <v>15</v>
      </c>
      <c r="D172" s="72">
        <v>5122140</v>
      </c>
      <c r="E172" s="72" t="s">
        <v>309</v>
      </c>
      <c r="F172" s="35">
        <f>SUM(G172:R172)</f>
        <v>0</v>
      </c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1:18" x14ac:dyDescent="0.3">
      <c r="A173" s="26" t="s">
        <v>310</v>
      </c>
      <c r="B173" s="73" t="s">
        <v>7</v>
      </c>
      <c r="C173" s="73"/>
      <c r="D173" s="74"/>
      <c r="E173" s="74"/>
      <c r="F173" s="29">
        <f t="shared" ref="F173:R173" si="32">SUM(F174:F176)</f>
        <v>0</v>
      </c>
      <c r="G173" s="29">
        <f t="shared" si="32"/>
        <v>0</v>
      </c>
      <c r="H173" s="29">
        <f t="shared" si="32"/>
        <v>0</v>
      </c>
      <c r="I173" s="29">
        <f t="shared" si="32"/>
        <v>0</v>
      </c>
      <c r="J173" s="29">
        <f t="shared" si="32"/>
        <v>0</v>
      </c>
      <c r="K173" s="29">
        <f t="shared" si="32"/>
        <v>0</v>
      </c>
      <c r="L173" s="29">
        <f t="shared" si="32"/>
        <v>0</v>
      </c>
      <c r="M173" s="29">
        <f t="shared" si="32"/>
        <v>0</v>
      </c>
      <c r="N173" s="29">
        <f t="shared" si="32"/>
        <v>0</v>
      </c>
      <c r="O173" s="29">
        <f t="shared" si="32"/>
        <v>0</v>
      </c>
      <c r="P173" s="29">
        <f t="shared" si="32"/>
        <v>0</v>
      </c>
      <c r="Q173" s="29">
        <f t="shared" si="32"/>
        <v>0</v>
      </c>
      <c r="R173" s="29">
        <f t="shared" si="32"/>
        <v>0</v>
      </c>
    </row>
    <row r="174" spans="1:18" outlineLevel="1" x14ac:dyDescent="0.3">
      <c r="A174" s="34" t="s">
        <v>311</v>
      </c>
      <c r="B174" s="71" t="s">
        <v>312</v>
      </c>
      <c r="C174" s="71" t="s">
        <v>15</v>
      </c>
      <c r="D174" s="72">
        <v>5123110</v>
      </c>
      <c r="E174" s="72" t="s">
        <v>313</v>
      </c>
      <c r="F174" s="35">
        <f>SUM(G174:R174)</f>
        <v>0</v>
      </c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</row>
    <row r="175" spans="1:18" outlineLevel="1" x14ac:dyDescent="0.3">
      <c r="A175" s="34" t="s">
        <v>314</v>
      </c>
      <c r="B175" s="71" t="s">
        <v>315</v>
      </c>
      <c r="C175" s="71" t="s">
        <v>15</v>
      </c>
      <c r="D175" s="72">
        <v>5123120</v>
      </c>
      <c r="E175" s="72" t="s">
        <v>316</v>
      </c>
      <c r="F175" s="35">
        <f>SUM(G175:R175)</f>
        <v>0</v>
      </c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</row>
    <row r="176" spans="1:18" outlineLevel="1" x14ac:dyDescent="0.3">
      <c r="A176" s="57" t="s">
        <v>317</v>
      </c>
      <c r="B176" s="83" t="s">
        <v>318</v>
      </c>
      <c r="C176" s="83" t="s">
        <v>15</v>
      </c>
      <c r="D176" s="84">
        <v>5123130</v>
      </c>
      <c r="E176" s="84" t="s">
        <v>319</v>
      </c>
      <c r="F176" s="60">
        <f>SUM(G176:R176)</f>
        <v>0</v>
      </c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AA56-7C70-4414-87D7-F8535CF127B2}">
  <sheetPr>
    <tabColor theme="4" tint="0.79998168889431442"/>
  </sheetPr>
  <dimension ref="A1:S176"/>
  <sheetViews>
    <sheetView zoomScale="70" zoomScaleNormal="70" workbookViewId="0">
      <pane xSplit="5" ySplit="4" topLeftCell="F5" activePane="bottomRight" state="frozen"/>
      <selection activeCell="A40" sqref="A40"/>
      <selection pane="topRight" activeCell="A40" sqref="A40"/>
      <selection pane="bottomLeft" activeCell="A40" sqref="A40"/>
      <selection pane="bottomRight" activeCell="J36" sqref="J36"/>
    </sheetView>
  </sheetViews>
  <sheetFormatPr defaultColWidth="9" defaultRowHeight="16.5" outlineLevelRow="1" outlineLevelCol="1" x14ac:dyDescent="0.3"/>
  <cols>
    <col min="1" max="1" width="41" style="101" customWidth="1"/>
    <col min="2" max="2" width="27.75" style="101" customWidth="1" outlineLevel="1"/>
    <col min="3" max="3" width="9.875" style="101" customWidth="1" outlineLevel="1"/>
    <col min="4" max="4" width="9.25" style="102" customWidth="1" outlineLevel="1"/>
    <col min="5" max="5" width="13.25" style="102" customWidth="1" outlineLevel="1"/>
    <col min="6" max="6" width="14.25" style="101" bestFit="1" customWidth="1"/>
    <col min="7" max="7" width="14.25" style="101" bestFit="1" customWidth="1" outlineLevel="1"/>
    <col min="8" max="8" width="14.25" style="101" customWidth="1" outlineLevel="1"/>
    <col min="9" max="9" width="14.25" style="101" bestFit="1" customWidth="1" outlineLevel="1"/>
    <col min="10" max="18" width="14.25" style="101" customWidth="1" outlineLevel="1"/>
    <col min="19" max="16384" width="9" style="101"/>
  </cols>
  <sheetData>
    <row r="1" spans="1:18" x14ac:dyDescent="0.3">
      <c r="A1" s="3" t="s">
        <v>332</v>
      </c>
      <c r="G1" s="103"/>
    </row>
    <row r="2" spans="1:18" x14ac:dyDescent="0.3">
      <c r="A2" s="101" t="s">
        <v>0</v>
      </c>
    </row>
    <row r="3" spans="1:18" x14ac:dyDescent="0.3">
      <c r="A3" s="3" t="s">
        <v>333</v>
      </c>
    </row>
    <row r="4" spans="1:18" x14ac:dyDescent="0.3">
      <c r="A4" s="4" t="s">
        <v>334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>
        <v>2026.1</v>
      </c>
      <c r="Q4" s="12">
        <v>2026.11</v>
      </c>
      <c r="R4" s="12">
        <v>2026.12</v>
      </c>
    </row>
    <row r="5" spans="1:18" x14ac:dyDescent="0.3">
      <c r="A5" s="13" t="s">
        <v>6</v>
      </c>
      <c r="B5" s="104" t="s">
        <v>7</v>
      </c>
      <c r="C5" s="104"/>
      <c r="D5" s="105"/>
      <c r="E5" s="105"/>
      <c r="F5" s="106"/>
      <c r="G5" s="106"/>
      <c r="H5" s="106"/>
      <c r="I5" s="106"/>
      <c r="J5" s="107"/>
      <c r="K5" s="107"/>
      <c r="L5" s="107"/>
      <c r="M5" s="107"/>
      <c r="N5" s="107"/>
      <c r="O5" s="107"/>
      <c r="P5" s="107"/>
      <c r="Q5" s="107"/>
      <c r="R5" s="107"/>
    </row>
    <row r="6" spans="1:18" x14ac:dyDescent="0.3">
      <c r="A6" s="18" t="s">
        <v>8</v>
      </c>
      <c r="B6" s="108" t="s">
        <v>7</v>
      </c>
      <c r="C6" s="108"/>
      <c r="D6" s="109"/>
      <c r="E6" s="109"/>
      <c r="F6" s="110"/>
      <c r="G6" s="110"/>
      <c r="H6" s="110"/>
      <c r="I6" s="110"/>
      <c r="J6" s="111"/>
      <c r="K6" s="111"/>
      <c r="L6" s="111"/>
      <c r="M6" s="111"/>
      <c r="N6" s="111"/>
      <c r="O6" s="111"/>
      <c r="P6" s="111"/>
      <c r="Q6" s="111"/>
      <c r="R6" s="111"/>
    </row>
    <row r="7" spans="1:18" x14ac:dyDescent="0.3">
      <c r="A7" s="13" t="s">
        <v>9</v>
      </c>
      <c r="B7" s="104" t="s">
        <v>7</v>
      </c>
      <c r="C7" s="104"/>
      <c r="D7" s="105"/>
      <c r="E7" s="105"/>
      <c r="F7" s="106"/>
      <c r="G7" s="106"/>
      <c r="H7" s="106"/>
      <c r="I7" s="106"/>
      <c r="J7" s="107"/>
      <c r="K7" s="107"/>
      <c r="L7" s="107"/>
      <c r="M7" s="107"/>
      <c r="N7" s="107"/>
      <c r="O7" s="107"/>
      <c r="P7" s="107"/>
      <c r="Q7" s="107"/>
      <c r="R7" s="107"/>
    </row>
    <row r="8" spans="1:18" x14ac:dyDescent="0.3">
      <c r="A8" s="18" t="s">
        <v>10</v>
      </c>
      <c r="B8" s="108" t="s">
        <v>7</v>
      </c>
      <c r="C8" s="108"/>
      <c r="D8" s="109"/>
      <c r="E8" s="109"/>
      <c r="F8" s="110"/>
      <c r="G8" s="110"/>
      <c r="H8" s="110"/>
      <c r="I8" s="110"/>
      <c r="J8" s="111"/>
      <c r="K8" s="111"/>
      <c r="L8" s="111"/>
      <c r="M8" s="111"/>
      <c r="N8" s="111"/>
      <c r="O8" s="111"/>
      <c r="P8" s="111"/>
      <c r="Q8" s="111"/>
      <c r="R8" s="111"/>
    </row>
    <row r="9" spans="1:18" x14ac:dyDescent="0.3">
      <c r="A9" s="13" t="s">
        <v>11</v>
      </c>
      <c r="B9" s="104" t="s">
        <v>7</v>
      </c>
      <c r="C9" s="104"/>
      <c r="D9" s="105"/>
      <c r="E9" s="105"/>
      <c r="F9" s="10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x14ac:dyDescent="0.3">
      <c r="A10" s="26" t="s">
        <v>12</v>
      </c>
      <c r="B10" s="112" t="s">
        <v>7</v>
      </c>
      <c r="C10" s="112"/>
      <c r="D10" s="113"/>
      <c r="E10" s="113"/>
      <c r="F10" s="114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 outlineLevel="1" x14ac:dyDescent="0.3">
      <c r="A11" s="34" t="s">
        <v>13</v>
      </c>
      <c r="B11" s="108" t="s">
        <v>14</v>
      </c>
      <c r="C11" s="108" t="s">
        <v>15</v>
      </c>
      <c r="D11" s="109">
        <v>5102110</v>
      </c>
      <c r="E11" s="109" t="s">
        <v>16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</row>
    <row r="12" spans="1:18" outlineLevel="1" x14ac:dyDescent="0.3">
      <c r="A12" s="34" t="s">
        <v>17</v>
      </c>
      <c r="B12" s="108" t="s">
        <v>18</v>
      </c>
      <c r="C12" s="108" t="s">
        <v>15</v>
      </c>
      <c r="D12" s="109">
        <v>5102120</v>
      </c>
      <c r="E12" s="109" t="s">
        <v>19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</row>
    <row r="13" spans="1:18" x14ac:dyDescent="0.3">
      <c r="A13" s="26" t="s">
        <v>20</v>
      </c>
      <c r="B13" s="112" t="s">
        <v>7</v>
      </c>
      <c r="C13" s="112"/>
      <c r="D13" s="113" t="s">
        <v>21</v>
      </c>
      <c r="E13" s="113"/>
      <c r="F13" s="114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outlineLevel="1" x14ac:dyDescent="0.3">
      <c r="A14" s="40" t="s">
        <v>22</v>
      </c>
      <c r="B14" s="108" t="s">
        <v>14</v>
      </c>
      <c r="C14" s="108" t="s">
        <v>15</v>
      </c>
      <c r="D14" s="109">
        <v>5102210</v>
      </c>
      <c r="E14" s="109" t="s">
        <v>16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</row>
    <row r="15" spans="1:18" outlineLevel="1" x14ac:dyDescent="0.3">
      <c r="A15" s="34" t="s">
        <v>23</v>
      </c>
      <c r="B15" s="108" t="s">
        <v>18</v>
      </c>
      <c r="C15" s="108" t="s">
        <v>15</v>
      </c>
      <c r="D15" s="109">
        <v>5102220</v>
      </c>
      <c r="E15" s="109" t="s">
        <v>19</v>
      </c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outlineLevel="1" x14ac:dyDescent="0.3">
      <c r="A16" s="34" t="s">
        <v>24</v>
      </c>
      <c r="B16" s="108" t="s">
        <v>14</v>
      </c>
      <c r="C16" s="108" t="s">
        <v>15</v>
      </c>
      <c r="D16" s="109">
        <v>5102230</v>
      </c>
      <c r="E16" s="109" t="s">
        <v>16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</row>
    <row r="17" spans="1:18" outlineLevel="1" x14ac:dyDescent="0.3">
      <c r="A17" s="34" t="s">
        <v>25</v>
      </c>
      <c r="B17" s="108" t="s">
        <v>26</v>
      </c>
      <c r="C17" s="108" t="s">
        <v>27</v>
      </c>
      <c r="D17" s="109">
        <v>5102240</v>
      </c>
      <c r="E17" s="109" t="s">
        <v>28</v>
      </c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</row>
    <row r="18" spans="1:18" outlineLevel="1" x14ac:dyDescent="0.3">
      <c r="A18" s="34" t="s">
        <v>29</v>
      </c>
      <c r="B18" s="108" t="s">
        <v>14</v>
      </c>
      <c r="C18" s="108" t="s">
        <v>15</v>
      </c>
      <c r="D18" s="109">
        <v>5102250</v>
      </c>
      <c r="E18" s="109" t="s">
        <v>16</v>
      </c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</row>
    <row r="19" spans="1:18" outlineLevel="1" x14ac:dyDescent="0.3">
      <c r="A19" s="34" t="s">
        <v>30</v>
      </c>
      <c r="B19" s="108" t="s">
        <v>26</v>
      </c>
      <c r="C19" s="108" t="s">
        <v>15</v>
      </c>
      <c r="D19" s="109">
        <v>5102260</v>
      </c>
      <c r="E19" s="109" t="s">
        <v>28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18" outlineLevel="1" x14ac:dyDescent="0.3">
      <c r="A20" s="34" t="s">
        <v>31</v>
      </c>
      <c r="B20" s="108" t="s">
        <v>14</v>
      </c>
      <c r="C20" s="108" t="s">
        <v>15</v>
      </c>
      <c r="D20" s="109">
        <v>5102280</v>
      </c>
      <c r="E20" s="109" t="s">
        <v>16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18" outlineLevel="1" x14ac:dyDescent="0.3">
      <c r="A21" s="34" t="s">
        <v>32</v>
      </c>
      <c r="B21" s="108" t="s">
        <v>26</v>
      </c>
      <c r="C21" s="108" t="s">
        <v>15</v>
      </c>
      <c r="D21" s="109">
        <v>5102290</v>
      </c>
      <c r="E21" s="109" t="s">
        <v>28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</row>
    <row r="22" spans="1:18" x14ac:dyDescent="0.3">
      <c r="A22" s="26" t="s">
        <v>33</v>
      </c>
      <c r="B22" s="112" t="s">
        <v>7</v>
      </c>
      <c r="C22" s="112"/>
      <c r="D22" s="113" t="s">
        <v>21</v>
      </c>
      <c r="E22" s="113"/>
      <c r="F22" s="11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 outlineLevel="1" x14ac:dyDescent="0.3">
      <c r="A23" s="34" t="s">
        <v>34</v>
      </c>
      <c r="B23" s="108" t="s">
        <v>18</v>
      </c>
      <c r="C23" s="108" t="s">
        <v>15</v>
      </c>
      <c r="D23" s="109">
        <v>5102410</v>
      </c>
      <c r="E23" s="109" t="s">
        <v>19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</row>
    <row r="24" spans="1:18" outlineLevel="1" x14ac:dyDescent="0.3">
      <c r="A24" s="34" t="s">
        <v>35</v>
      </c>
      <c r="B24" s="115" t="s">
        <v>7</v>
      </c>
      <c r="C24" s="115" t="s">
        <v>15</v>
      </c>
      <c r="D24" s="109">
        <v>5102420</v>
      </c>
      <c r="E24" s="109" t="s">
        <v>28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</row>
    <row r="25" spans="1:18" outlineLevel="1" x14ac:dyDescent="0.3">
      <c r="A25" s="34" t="s">
        <v>36</v>
      </c>
      <c r="B25" s="115"/>
      <c r="C25" s="115" t="s">
        <v>37</v>
      </c>
      <c r="D25" s="109" t="s">
        <v>38</v>
      </c>
      <c r="E25" s="109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</row>
    <row r="26" spans="1:18" x14ac:dyDescent="0.3">
      <c r="A26" s="13" t="s">
        <v>39</v>
      </c>
      <c r="B26" s="104" t="s">
        <v>7</v>
      </c>
      <c r="C26" s="104"/>
      <c r="D26" s="105"/>
      <c r="E26" s="105"/>
      <c r="F26" s="106">
        <f t="shared" ref="F26:R26" si="0">F27+F46+F52+F60+F68+F79+F88+F100+F107+F115+F118+F128+F130+F138+F140+F146+F149+F158+F163+F168+F173</f>
        <v>1590131676</v>
      </c>
      <c r="G26" s="106">
        <f t="shared" si="0"/>
        <v>125727639</v>
      </c>
      <c r="H26" s="106">
        <f t="shared" si="0"/>
        <v>135727639</v>
      </c>
      <c r="I26" s="106">
        <f t="shared" si="0"/>
        <v>136077641</v>
      </c>
      <c r="J26" s="106">
        <f t="shared" si="0"/>
        <v>125727639</v>
      </c>
      <c r="K26" s="106">
        <f t="shared" si="0"/>
        <v>135727639</v>
      </c>
      <c r="L26" s="106">
        <f t="shared" si="0"/>
        <v>136077641</v>
      </c>
      <c r="M26" s="106">
        <f t="shared" si="0"/>
        <v>125727639</v>
      </c>
      <c r="N26" s="106">
        <f t="shared" si="0"/>
        <v>135727639</v>
      </c>
      <c r="O26" s="106">
        <f t="shared" si="0"/>
        <v>136077641</v>
      </c>
      <c r="P26" s="106">
        <f t="shared" si="0"/>
        <v>125727639</v>
      </c>
      <c r="Q26" s="106">
        <f t="shared" si="0"/>
        <v>135727639</v>
      </c>
      <c r="R26" s="106">
        <f t="shared" si="0"/>
        <v>136077641</v>
      </c>
    </row>
    <row r="27" spans="1:18" x14ac:dyDescent="0.3">
      <c r="A27" s="26" t="s">
        <v>40</v>
      </c>
      <c r="B27" s="112" t="s">
        <v>7</v>
      </c>
      <c r="C27" s="112"/>
      <c r="D27" s="113"/>
      <c r="E27" s="113"/>
      <c r="F27" s="114">
        <f t="shared" ref="F27:R27" si="1">SUM(F28:F45)</f>
        <v>151006916</v>
      </c>
      <c r="G27" s="114">
        <f t="shared" si="1"/>
        <v>12517243</v>
      </c>
      <c r="H27" s="114">
        <f t="shared" si="1"/>
        <v>12517243</v>
      </c>
      <c r="I27" s="114">
        <f t="shared" si="1"/>
        <v>12717243</v>
      </c>
      <c r="J27" s="114">
        <f t="shared" si="1"/>
        <v>12517243</v>
      </c>
      <c r="K27" s="114">
        <f t="shared" si="1"/>
        <v>12517243</v>
      </c>
      <c r="L27" s="114">
        <f t="shared" si="1"/>
        <v>12717243</v>
      </c>
      <c r="M27" s="114">
        <f t="shared" si="1"/>
        <v>12517243</v>
      </c>
      <c r="N27" s="114">
        <f t="shared" si="1"/>
        <v>12517243</v>
      </c>
      <c r="O27" s="114">
        <f t="shared" si="1"/>
        <v>12717243</v>
      </c>
      <c r="P27" s="114">
        <f t="shared" si="1"/>
        <v>12517243</v>
      </c>
      <c r="Q27" s="114">
        <f t="shared" si="1"/>
        <v>12517243</v>
      </c>
      <c r="R27" s="114">
        <f t="shared" si="1"/>
        <v>12717243</v>
      </c>
    </row>
    <row r="28" spans="1:18" outlineLevel="1" x14ac:dyDescent="0.3">
      <c r="A28" s="34" t="s">
        <v>41</v>
      </c>
      <c r="B28" s="108" t="s">
        <v>42</v>
      </c>
      <c r="C28" s="108" t="s">
        <v>15</v>
      </c>
      <c r="D28" s="109">
        <v>5103260</v>
      </c>
      <c r="E28" s="109" t="s">
        <v>43</v>
      </c>
      <c r="F28" s="110">
        <f t="shared" ref="F28:F45" si="2">SUM(G28:R28)</f>
        <v>0</v>
      </c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</row>
    <row r="29" spans="1:18" outlineLevel="1" x14ac:dyDescent="0.3">
      <c r="A29" s="34" t="s">
        <v>44</v>
      </c>
      <c r="B29" s="108" t="s">
        <v>45</v>
      </c>
      <c r="C29" s="108" t="s">
        <v>15</v>
      </c>
      <c r="D29" s="109">
        <v>5103250</v>
      </c>
      <c r="E29" s="109" t="s">
        <v>46</v>
      </c>
      <c r="F29" s="110">
        <f t="shared" si="2"/>
        <v>0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</row>
    <row r="30" spans="1:18" outlineLevel="1" x14ac:dyDescent="0.3">
      <c r="A30" s="34" t="s">
        <v>47</v>
      </c>
      <c r="B30" s="108" t="s">
        <v>48</v>
      </c>
      <c r="C30" s="108" t="s">
        <v>15</v>
      </c>
      <c r="D30" s="109">
        <v>5103240</v>
      </c>
      <c r="E30" s="109" t="s">
        <v>49</v>
      </c>
      <c r="F30" s="110">
        <f t="shared" si="2"/>
        <v>0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</row>
    <row r="31" spans="1:18" outlineLevel="1" x14ac:dyDescent="0.3">
      <c r="A31" s="34" t="s">
        <v>50</v>
      </c>
      <c r="B31" s="108" t="s">
        <v>51</v>
      </c>
      <c r="C31" s="108" t="s">
        <v>15</v>
      </c>
      <c r="D31" s="109">
        <v>5103230</v>
      </c>
      <c r="E31" s="109" t="s">
        <v>52</v>
      </c>
      <c r="F31" s="110">
        <f t="shared" si="2"/>
        <v>0</v>
      </c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</row>
    <row r="32" spans="1:18" outlineLevel="1" x14ac:dyDescent="0.3">
      <c r="A32" s="34" t="s">
        <v>53</v>
      </c>
      <c r="B32" s="108" t="s">
        <v>54</v>
      </c>
      <c r="C32" s="108" t="s">
        <v>15</v>
      </c>
      <c r="D32" s="109">
        <v>5103220</v>
      </c>
      <c r="E32" s="109" t="s">
        <v>55</v>
      </c>
      <c r="F32" s="110">
        <f t="shared" si="2"/>
        <v>0</v>
      </c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spans="1:18" s="118" customFormat="1" outlineLevel="1" x14ac:dyDescent="0.3">
      <c r="A33" s="54" t="s">
        <v>56</v>
      </c>
      <c r="B33" s="115" t="s">
        <v>56</v>
      </c>
      <c r="C33" s="115" t="s">
        <v>15</v>
      </c>
      <c r="D33" s="116">
        <v>5103210</v>
      </c>
      <c r="E33" s="116" t="s">
        <v>57</v>
      </c>
      <c r="F33" s="117">
        <f t="shared" si="2"/>
        <v>800000</v>
      </c>
      <c r="G33" s="110">
        <v>0</v>
      </c>
      <c r="H33" s="110">
        <v>0</v>
      </c>
      <c r="I33" s="110">
        <v>200000</v>
      </c>
      <c r="J33" s="110">
        <v>0</v>
      </c>
      <c r="K33" s="110">
        <v>0</v>
      </c>
      <c r="L33" s="110">
        <v>200000</v>
      </c>
      <c r="M33" s="110">
        <v>0</v>
      </c>
      <c r="N33" s="110">
        <v>0</v>
      </c>
      <c r="O33" s="110">
        <v>200000</v>
      </c>
      <c r="P33" s="110">
        <v>0</v>
      </c>
      <c r="Q33" s="110">
        <v>0</v>
      </c>
      <c r="R33" s="110">
        <v>200000</v>
      </c>
    </row>
    <row r="34" spans="1:18" s="118" customFormat="1" outlineLevel="1" x14ac:dyDescent="0.3">
      <c r="A34" s="54" t="s">
        <v>58</v>
      </c>
      <c r="B34" s="115" t="s">
        <v>59</v>
      </c>
      <c r="C34" s="115" t="s">
        <v>15</v>
      </c>
      <c r="D34" s="116">
        <v>5103190</v>
      </c>
      <c r="E34" s="116" t="s">
        <v>60</v>
      </c>
      <c r="F34" s="117">
        <f t="shared" si="2"/>
        <v>1594548</v>
      </c>
      <c r="G34" s="110">
        <v>132879</v>
      </c>
      <c r="H34" s="110">
        <v>132879</v>
      </c>
      <c r="I34" s="110">
        <v>132879</v>
      </c>
      <c r="J34" s="110">
        <v>132879</v>
      </c>
      <c r="K34" s="110">
        <v>132879</v>
      </c>
      <c r="L34" s="110">
        <v>132879</v>
      </c>
      <c r="M34" s="110">
        <v>132879</v>
      </c>
      <c r="N34" s="110">
        <v>132879</v>
      </c>
      <c r="O34" s="110">
        <v>132879</v>
      </c>
      <c r="P34" s="110">
        <f t="shared" ref="I34:R34" si="3">O34</f>
        <v>132879</v>
      </c>
      <c r="Q34" s="110">
        <f t="shared" si="3"/>
        <v>132879</v>
      </c>
      <c r="R34" s="110">
        <f t="shared" si="3"/>
        <v>132879</v>
      </c>
    </row>
    <row r="35" spans="1:18" outlineLevel="1" x14ac:dyDescent="0.3">
      <c r="A35" s="34" t="s">
        <v>61</v>
      </c>
      <c r="B35" s="108" t="s">
        <v>62</v>
      </c>
      <c r="C35" s="108" t="s">
        <v>15</v>
      </c>
      <c r="D35" s="109">
        <v>5103180</v>
      </c>
      <c r="E35" s="109" t="s">
        <v>63</v>
      </c>
      <c r="F35" s="110">
        <f t="shared" si="2"/>
        <v>0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</row>
    <row r="36" spans="1:18" outlineLevel="1" x14ac:dyDescent="0.3">
      <c r="A36" s="34" t="s">
        <v>64</v>
      </c>
      <c r="B36" s="108" t="s">
        <v>65</v>
      </c>
      <c r="C36" s="108" t="s">
        <v>15</v>
      </c>
      <c r="D36" s="109">
        <v>5103170</v>
      </c>
      <c r="E36" s="109" t="s">
        <v>66</v>
      </c>
      <c r="F36" s="110">
        <f t="shared" si="2"/>
        <v>0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</row>
    <row r="37" spans="1:18" outlineLevel="1" x14ac:dyDescent="0.3">
      <c r="A37" s="34" t="s">
        <v>67</v>
      </c>
      <c r="B37" s="108" t="s">
        <v>68</v>
      </c>
      <c r="C37" s="108" t="s">
        <v>15</v>
      </c>
      <c r="D37" s="109">
        <v>5103160</v>
      </c>
      <c r="E37" s="109" t="s">
        <v>69</v>
      </c>
      <c r="F37" s="110">
        <f t="shared" si="2"/>
        <v>0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</row>
    <row r="38" spans="1:18" outlineLevel="1" x14ac:dyDescent="0.3">
      <c r="A38" s="34" t="s">
        <v>70</v>
      </c>
      <c r="B38" s="108" t="s">
        <v>71</v>
      </c>
      <c r="C38" s="108" t="s">
        <v>15</v>
      </c>
      <c r="D38" s="109">
        <v>5103150</v>
      </c>
      <c r="E38" s="109" t="s">
        <v>72</v>
      </c>
      <c r="F38" s="110">
        <f t="shared" si="2"/>
        <v>0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</row>
    <row r="39" spans="1:18" outlineLevel="1" x14ac:dyDescent="0.3">
      <c r="A39" s="34" t="s">
        <v>73</v>
      </c>
      <c r="B39" s="108" t="s">
        <v>74</v>
      </c>
      <c r="C39" s="108" t="s">
        <v>15</v>
      </c>
      <c r="D39" s="109">
        <v>5103140</v>
      </c>
      <c r="E39" s="109" t="s">
        <v>75</v>
      </c>
      <c r="F39" s="110">
        <f t="shared" si="2"/>
        <v>0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</row>
    <row r="40" spans="1:18" outlineLevel="1" x14ac:dyDescent="0.3">
      <c r="A40" s="34" t="s">
        <v>76</v>
      </c>
      <c r="B40" s="108" t="s">
        <v>7</v>
      </c>
      <c r="C40" s="108" t="s">
        <v>15</v>
      </c>
      <c r="D40" s="109">
        <v>5103130</v>
      </c>
      <c r="E40" s="109" t="s">
        <v>77</v>
      </c>
      <c r="F40" s="110">
        <f t="shared" si="2"/>
        <v>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</row>
    <row r="41" spans="1:18" outlineLevel="1" x14ac:dyDescent="0.3">
      <c r="A41" s="34" t="s">
        <v>78</v>
      </c>
      <c r="B41" s="108" t="s">
        <v>79</v>
      </c>
      <c r="C41" s="108" t="s">
        <v>15</v>
      </c>
      <c r="D41" s="109">
        <v>5103120</v>
      </c>
      <c r="E41" s="109" t="s">
        <v>80</v>
      </c>
      <c r="F41" s="110">
        <f t="shared" si="2"/>
        <v>0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</row>
    <row r="42" spans="1:18" outlineLevel="1" x14ac:dyDescent="0.3">
      <c r="A42" s="34" t="s">
        <v>81</v>
      </c>
      <c r="B42" s="108" t="s">
        <v>82</v>
      </c>
      <c r="C42" s="108" t="s">
        <v>15</v>
      </c>
      <c r="D42" s="109">
        <v>5103110</v>
      </c>
      <c r="E42" s="109" t="s">
        <v>83</v>
      </c>
      <c r="F42" s="110">
        <f t="shared" si="2"/>
        <v>0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</row>
    <row r="43" spans="1:18" outlineLevel="1" x14ac:dyDescent="0.3">
      <c r="A43" s="34" t="s">
        <v>84</v>
      </c>
      <c r="B43" s="108" t="s">
        <v>59</v>
      </c>
      <c r="C43" s="108" t="s">
        <v>15</v>
      </c>
      <c r="D43" s="109">
        <v>5103270</v>
      </c>
      <c r="E43" s="109" t="s">
        <v>60</v>
      </c>
      <c r="F43" s="110">
        <f t="shared" si="2"/>
        <v>140436072</v>
      </c>
      <c r="G43" s="110">
        <v>11703006</v>
      </c>
      <c r="H43" s="110">
        <f>G43</f>
        <v>11703006</v>
      </c>
      <c r="I43" s="110">
        <f t="shared" ref="I43:R44" si="4">H43</f>
        <v>11703006</v>
      </c>
      <c r="J43" s="110">
        <f t="shared" si="4"/>
        <v>11703006</v>
      </c>
      <c r="K43" s="110">
        <f t="shared" si="4"/>
        <v>11703006</v>
      </c>
      <c r="L43" s="110">
        <f t="shared" si="4"/>
        <v>11703006</v>
      </c>
      <c r="M43" s="110">
        <f t="shared" si="4"/>
        <v>11703006</v>
      </c>
      <c r="N43" s="110">
        <f t="shared" si="4"/>
        <v>11703006</v>
      </c>
      <c r="O43" s="110">
        <f t="shared" si="4"/>
        <v>11703006</v>
      </c>
      <c r="P43" s="110">
        <f t="shared" si="4"/>
        <v>11703006</v>
      </c>
      <c r="Q43" s="110">
        <f t="shared" si="4"/>
        <v>11703006</v>
      </c>
      <c r="R43" s="110">
        <f t="shared" si="4"/>
        <v>11703006</v>
      </c>
    </row>
    <row r="44" spans="1:18" outlineLevel="1" x14ac:dyDescent="0.3">
      <c r="A44" s="34" t="s">
        <v>85</v>
      </c>
      <c r="B44" s="108" t="s">
        <v>85</v>
      </c>
      <c r="C44" s="108" t="s">
        <v>27</v>
      </c>
      <c r="D44" s="109">
        <v>5103111</v>
      </c>
      <c r="E44" s="109" t="s">
        <v>86</v>
      </c>
      <c r="F44" s="110">
        <f t="shared" si="2"/>
        <v>616296</v>
      </c>
      <c r="G44" s="110">
        <v>51358</v>
      </c>
      <c r="H44" s="110">
        <f>G44</f>
        <v>51358</v>
      </c>
      <c r="I44" s="110">
        <f t="shared" si="4"/>
        <v>51358</v>
      </c>
      <c r="J44" s="110">
        <f t="shared" si="4"/>
        <v>51358</v>
      </c>
      <c r="K44" s="110">
        <f t="shared" si="4"/>
        <v>51358</v>
      </c>
      <c r="L44" s="110">
        <f t="shared" si="4"/>
        <v>51358</v>
      </c>
      <c r="M44" s="110">
        <f t="shared" si="4"/>
        <v>51358</v>
      </c>
      <c r="N44" s="110">
        <f t="shared" si="4"/>
        <v>51358</v>
      </c>
      <c r="O44" s="110">
        <f t="shared" si="4"/>
        <v>51358</v>
      </c>
      <c r="P44" s="110">
        <f t="shared" si="4"/>
        <v>51358</v>
      </c>
      <c r="Q44" s="110">
        <f t="shared" si="4"/>
        <v>51358</v>
      </c>
      <c r="R44" s="110">
        <f t="shared" si="4"/>
        <v>51358</v>
      </c>
    </row>
    <row r="45" spans="1:18" outlineLevel="1" x14ac:dyDescent="0.3">
      <c r="A45" s="34" t="s">
        <v>87</v>
      </c>
      <c r="B45" s="108" t="s">
        <v>87</v>
      </c>
      <c r="C45" s="108" t="s">
        <v>15</v>
      </c>
      <c r="D45" s="109">
        <v>5103131</v>
      </c>
      <c r="E45" s="109" t="s">
        <v>88</v>
      </c>
      <c r="F45" s="110">
        <f t="shared" si="2"/>
        <v>7560000</v>
      </c>
      <c r="G45" s="110">
        <f>30000*21</f>
        <v>630000</v>
      </c>
      <c r="H45" s="110">
        <f t="shared" ref="H45:R45" si="5">30000*21</f>
        <v>630000</v>
      </c>
      <c r="I45" s="110">
        <f t="shared" si="5"/>
        <v>630000</v>
      </c>
      <c r="J45" s="110">
        <f t="shared" si="5"/>
        <v>630000</v>
      </c>
      <c r="K45" s="110">
        <f t="shared" si="5"/>
        <v>630000</v>
      </c>
      <c r="L45" s="110">
        <f t="shared" si="5"/>
        <v>630000</v>
      </c>
      <c r="M45" s="110">
        <f t="shared" si="5"/>
        <v>630000</v>
      </c>
      <c r="N45" s="110">
        <f t="shared" si="5"/>
        <v>630000</v>
      </c>
      <c r="O45" s="110">
        <f t="shared" si="5"/>
        <v>630000</v>
      </c>
      <c r="P45" s="110">
        <f t="shared" si="5"/>
        <v>630000</v>
      </c>
      <c r="Q45" s="110">
        <f t="shared" si="5"/>
        <v>630000</v>
      </c>
      <c r="R45" s="110">
        <f t="shared" si="5"/>
        <v>630000</v>
      </c>
    </row>
    <row r="46" spans="1:18" x14ac:dyDescent="0.3">
      <c r="A46" s="26" t="s">
        <v>89</v>
      </c>
      <c r="B46" s="112" t="s">
        <v>7</v>
      </c>
      <c r="C46" s="112"/>
      <c r="D46" s="113"/>
      <c r="E46" s="113"/>
      <c r="F46" s="114">
        <f t="shared" ref="F46:R46" si="6">SUM(F47:F51)</f>
        <v>2400008</v>
      </c>
      <c r="G46" s="114">
        <f t="shared" si="6"/>
        <v>200000</v>
      </c>
      <c r="H46" s="114">
        <f t="shared" si="6"/>
        <v>200000</v>
      </c>
      <c r="I46" s="114">
        <f t="shared" si="6"/>
        <v>200002</v>
      </c>
      <c r="J46" s="114">
        <f t="shared" si="6"/>
        <v>200000</v>
      </c>
      <c r="K46" s="114">
        <f t="shared" si="6"/>
        <v>200000</v>
      </c>
      <c r="L46" s="114">
        <f t="shared" si="6"/>
        <v>200002</v>
      </c>
      <c r="M46" s="114">
        <f t="shared" si="6"/>
        <v>200000</v>
      </c>
      <c r="N46" s="114">
        <f t="shared" si="6"/>
        <v>200000</v>
      </c>
      <c r="O46" s="114">
        <f t="shared" si="6"/>
        <v>200002</v>
      </c>
      <c r="P46" s="114">
        <f t="shared" si="6"/>
        <v>200000</v>
      </c>
      <c r="Q46" s="114">
        <f t="shared" si="6"/>
        <v>200000</v>
      </c>
      <c r="R46" s="114">
        <f t="shared" si="6"/>
        <v>200002</v>
      </c>
    </row>
    <row r="47" spans="1:18" outlineLevel="1" x14ac:dyDescent="0.3">
      <c r="A47" s="34" t="s">
        <v>90</v>
      </c>
      <c r="B47" s="108" t="s">
        <v>91</v>
      </c>
      <c r="C47" s="108" t="s">
        <v>15</v>
      </c>
      <c r="D47" s="109">
        <v>5104110</v>
      </c>
      <c r="E47" s="109" t="s">
        <v>92</v>
      </c>
      <c r="F47" s="110">
        <f>SUM(G47:R47)</f>
        <v>4</v>
      </c>
      <c r="G47" s="110"/>
      <c r="H47" s="110"/>
      <c r="I47" s="110">
        <v>1</v>
      </c>
      <c r="J47" s="110"/>
      <c r="K47" s="110"/>
      <c r="L47" s="110">
        <v>1</v>
      </c>
      <c r="M47" s="110"/>
      <c r="N47" s="110"/>
      <c r="O47" s="110">
        <v>1</v>
      </c>
      <c r="P47" s="110"/>
      <c r="Q47" s="110"/>
      <c r="R47" s="110">
        <v>1</v>
      </c>
    </row>
    <row r="48" spans="1:18" s="118" customFormat="1" outlineLevel="1" x14ac:dyDescent="0.3">
      <c r="A48" s="54" t="s">
        <v>93</v>
      </c>
      <c r="B48" s="115" t="s">
        <v>94</v>
      </c>
      <c r="C48" s="115" t="s">
        <v>15</v>
      </c>
      <c r="D48" s="116">
        <v>5104120</v>
      </c>
      <c r="E48" s="116" t="s">
        <v>95</v>
      </c>
      <c r="F48" s="117">
        <f>SUM(G48:R48)</f>
        <v>1800000</v>
      </c>
      <c r="G48" s="117">
        <v>150000</v>
      </c>
      <c r="H48" s="117">
        <v>150000</v>
      </c>
      <c r="I48" s="117">
        <v>150000</v>
      </c>
      <c r="J48" s="117">
        <v>150000</v>
      </c>
      <c r="K48" s="117">
        <v>150000</v>
      </c>
      <c r="L48" s="117">
        <v>150000</v>
      </c>
      <c r="M48" s="117">
        <v>150000</v>
      </c>
      <c r="N48" s="117">
        <v>150000</v>
      </c>
      <c r="O48" s="117">
        <v>150000</v>
      </c>
      <c r="P48" s="117">
        <v>150000</v>
      </c>
      <c r="Q48" s="117">
        <v>150000</v>
      </c>
      <c r="R48" s="117">
        <v>150000</v>
      </c>
    </row>
    <row r="49" spans="1:18" s="118" customFormat="1" outlineLevel="1" x14ac:dyDescent="0.3">
      <c r="A49" s="54" t="s">
        <v>96</v>
      </c>
      <c r="B49" s="115" t="s">
        <v>97</v>
      </c>
      <c r="C49" s="115" t="s">
        <v>15</v>
      </c>
      <c r="D49" s="116">
        <v>5104130</v>
      </c>
      <c r="E49" s="116" t="s">
        <v>98</v>
      </c>
      <c r="F49" s="117">
        <f>SUM(G49:R49)</f>
        <v>600000</v>
      </c>
      <c r="G49" s="117">
        <v>50000</v>
      </c>
      <c r="H49" s="117">
        <v>50000</v>
      </c>
      <c r="I49" s="117">
        <v>50000</v>
      </c>
      <c r="J49" s="117">
        <v>50000</v>
      </c>
      <c r="K49" s="117">
        <v>50000</v>
      </c>
      <c r="L49" s="117">
        <v>50000</v>
      </c>
      <c r="M49" s="117">
        <v>50000</v>
      </c>
      <c r="N49" s="117">
        <v>50000</v>
      </c>
      <c r="O49" s="117">
        <v>50000</v>
      </c>
      <c r="P49" s="117">
        <v>50000</v>
      </c>
      <c r="Q49" s="117">
        <v>50000</v>
      </c>
      <c r="R49" s="117">
        <v>50000</v>
      </c>
    </row>
    <row r="50" spans="1:18" outlineLevel="1" x14ac:dyDescent="0.3">
      <c r="A50" s="34" t="s">
        <v>99</v>
      </c>
      <c r="B50" s="108" t="s">
        <v>100</v>
      </c>
      <c r="C50" s="108" t="s">
        <v>15</v>
      </c>
      <c r="D50" s="109">
        <v>5104140</v>
      </c>
      <c r="E50" s="109" t="s">
        <v>101</v>
      </c>
      <c r="F50" s="110">
        <f>SUM(G50:R50)</f>
        <v>0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</row>
    <row r="51" spans="1:18" outlineLevel="1" x14ac:dyDescent="0.3">
      <c r="A51" s="34" t="s">
        <v>102</v>
      </c>
      <c r="B51" s="108" t="s">
        <v>102</v>
      </c>
      <c r="C51" s="108" t="s">
        <v>15</v>
      </c>
      <c r="D51" s="109">
        <v>5104150</v>
      </c>
      <c r="E51" s="109" t="s">
        <v>103</v>
      </c>
      <c r="F51" s="110">
        <f>SUM(G51:R51)</f>
        <v>4</v>
      </c>
      <c r="G51" s="110"/>
      <c r="H51" s="110"/>
      <c r="I51" s="110">
        <v>1</v>
      </c>
      <c r="J51" s="110"/>
      <c r="K51" s="110"/>
      <c r="L51" s="110">
        <v>1</v>
      </c>
      <c r="M51" s="110"/>
      <c r="N51" s="110"/>
      <c r="O51" s="110">
        <v>1</v>
      </c>
      <c r="P51" s="110"/>
      <c r="Q51" s="110"/>
      <c r="R51" s="110">
        <v>1</v>
      </c>
    </row>
    <row r="52" spans="1:18" x14ac:dyDescent="0.3">
      <c r="A52" s="26" t="s">
        <v>104</v>
      </c>
      <c r="B52" s="112" t="s">
        <v>7</v>
      </c>
      <c r="C52" s="112"/>
      <c r="D52" s="113"/>
      <c r="E52" s="113"/>
      <c r="F52" s="114">
        <f t="shared" ref="F52:R52" si="7">SUM(F53:F59)</f>
        <v>0</v>
      </c>
      <c r="G52" s="114">
        <f t="shared" si="7"/>
        <v>0</v>
      </c>
      <c r="H52" s="114">
        <f t="shared" si="7"/>
        <v>0</v>
      </c>
      <c r="I52" s="114">
        <f t="shared" si="7"/>
        <v>0</v>
      </c>
      <c r="J52" s="114">
        <f t="shared" si="7"/>
        <v>0</v>
      </c>
      <c r="K52" s="114">
        <f t="shared" si="7"/>
        <v>0</v>
      </c>
      <c r="L52" s="114">
        <f t="shared" si="7"/>
        <v>0</v>
      </c>
      <c r="M52" s="114">
        <f t="shared" si="7"/>
        <v>0</v>
      </c>
      <c r="N52" s="114">
        <f t="shared" si="7"/>
        <v>0</v>
      </c>
      <c r="O52" s="114">
        <f t="shared" si="7"/>
        <v>0</v>
      </c>
      <c r="P52" s="114">
        <f t="shared" si="7"/>
        <v>0</v>
      </c>
      <c r="Q52" s="114">
        <f t="shared" si="7"/>
        <v>0</v>
      </c>
      <c r="R52" s="114">
        <f t="shared" si="7"/>
        <v>0</v>
      </c>
    </row>
    <row r="53" spans="1:18" outlineLevel="1" x14ac:dyDescent="0.3">
      <c r="A53" s="34" t="s">
        <v>105</v>
      </c>
      <c r="B53" s="108" t="s">
        <v>106</v>
      </c>
      <c r="C53" s="108" t="s">
        <v>15</v>
      </c>
      <c r="D53" s="109">
        <v>5105160</v>
      </c>
      <c r="E53" s="109" t="s">
        <v>107</v>
      </c>
      <c r="F53" s="110">
        <f t="shared" ref="F53:F59" si="8">SUM(G53:R53)</f>
        <v>0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</row>
    <row r="54" spans="1:18" outlineLevel="1" x14ac:dyDescent="0.3">
      <c r="A54" s="34" t="s">
        <v>108</v>
      </c>
      <c r="B54" s="108" t="s">
        <v>106</v>
      </c>
      <c r="C54" s="108" t="s">
        <v>15</v>
      </c>
      <c r="D54" s="109">
        <v>5105150</v>
      </c>
      <c r="E54" s="109" t="s">
        <v>107</v>
      </c>
      <c r="F54" s="110">
        <f t="shared" si="8"/>
        <v>0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</row>
    <row r="55" spans="1:18" outlineLevel="1" x14ac:dyDescent="0.3">
      <c r="A55" s="34" t="s">
        <v>109</v>
      </c>
      <c r="B55" s="108" t="s">
        <v>110</v>
      </c>
      <c r="C55" s="108" t="s">
        <v>15</v>
      </c>
      <c r="D55" s="109">
        <v>5105140</v>
      </c>
      <c r="E55" s="109" t="s">
        <v>111</v>
      </c>
      <c r="F55" s="110">
        <f t="shared" si="8"/>
        <v>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</row>
    <row r="56" spans="1:18" outlineLevel="1" x14ac:dyDescent="0.3">
      <c r="A56" s="34" t="s">
        <v>112</v>
      </c>
      <c r="B56" s="108" t="s">
        <v>106</v>
      </c>
      <c r="C56" s="108" t="s">
        <v>15</v>
      </c>
      <c r="D56" s="109">
        <v>5105130</v>
      </c>
      <c r="E56" s="109" t="s">
        <v>107</v>
      </c>
      <c r="F56" s="110">
        <f t="shared" si="8"/>
        <v>0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</row>
    <row r="57" spans="1:18" outlineLevel="1" x14ac:dyDescent="0.3">
      <c r="A57" s="34" t="s">
        <v>113</v>
      </c>
      <c r="B57" s="108" t="s">
        <v>106</v>
      </c>
      <c r="C57" s="108" t="s">
        <v>15</v>
      </c>
      <c r="D57" s="109">
        <v>5105120</v>
      </c>
      <c r="E57" s="109" t="s">
        <v>107</v>
      </c>
      <c r="F57" s="110">
        <f t="shared" si="8"/>
        <v>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</row>
    <row r="58" spans="1:18" outlineLevel="1" x14ac:dyDescent="0.3">
      <c r="A58" s="34" t="s">
        <v>114</v>
      </c>
      <c r="B58" s="108" t="s">
        <v>106</v>
      </c>
      <c r="C58" s="108" t="s">
        <v>15</v>
      </c>
      <c r="D58" s="109">
        <v>5105110</v>
      </c>
      <c r="E58" s="109" t="s">
        <v>107</v>
      </c>
      <c r="F58" s="110">
        <f t="shared" si="8"/>
        <v>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</row>
    <row r="59" spans="1:18" outlineLevel="1" x14ac:dyDescent="0.3">
      <c r="A59" s="34" t="s">
        <v>115</v>
      </c>
      <c r="B59" s="108" t="s">
        <v>106</v>
      </c>
      <c r="C59" s="108" t="s">
        <v>15</v>
      </c>
      <c r="D59" s="109">
        <v>5105111</v>
      </c>
      <c r="E59" s="109" t="s">
        <v>107</v>
      </c>
      <c r="F59" s="110">
        <f t="shared" si="8"/>
        <v>0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</row>
    <row r="60" spans="1:18" x14ac:dyDescent="0.3">
      <c r="A60" s="26" t="s">
        <v>116</v>
      </c>
      <c r="B60" s="112" t="s">
        <v>7</v>
      </c>
      <c r="C60" s="112"/>
      <c r="D60" s="113"/>
      <c r="E60" s="113"/>
      <c r="F60" s="114">
        <f t="shared" ref="F60:R60" si="9">SUM(F61:F67)</f>
        <v>0</v>
      </c>
      <c r="G60" s="114">
        <f t="shared" si="9"/>
        <v>0</v>
      </c>
      <c r="H60" s="114">
        <f t="shared" si="9"/>
        <v>0</v>
      </c>
      <c r="I60" s="114">
        <f t="shared" si="9"/>
        <v>0</v>
      </c>
      <c r="J60" s="114">
        <f t="shared" si="9"/>
        <v>0</v>
      </c>
      <c r="K60" s="114">
        <f t="shared" si="9"/>
        <v>0</v>
      </c>
      <c r="L60" s="114">
        <f t="shared" si="9"/>
        <v>0</v>
      </c>
      <c r="M60" s="114">
        <f t="shared" si="9"/>
        <v>0</v>
      </c>
      <c r="N60" s="114">
        <f t="shared" si="9"/>
        <v>0</v>
      </c>
      <c r="O60" s="114">
        <f t="shared" si="9"/>
        <v>0</v>
      </c>
      <c r="P60" s="114">
        <f t="shared" si="9"/>
        <v>0</v>
      </c>
      <c r="Q60" s="114">
        <f t="shared" si="9"/>
        <v>0</v>
      </c>
      <c r="R60" s="114">
        <f t="shared" si="9"/>
        <v>0</v>
      </c>
    </row>
    <row r="61" spans="1:18" outlineLevel="1" x14ac:dyDescent="0.3">
      <c r="A61" s="34" t="s">
        <v>117</v>
      </c>
      <c r="B61" s="108" t="s">
        <v>118</v>
      </c>
      <c r="C61" s="108" t="s">
        <v>27</v>
      </c>
      <c r="D61" s="109">
        <v>5106110</v>
      </c>
      <c r="E61" s="109" t="s">
        <v>119</v>
      </c>
      <c r="F61" s="110">
        <f t="shared" ref="F61:F67" si="10">SUM(G61:R61)</f>
        <v>0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</row>
    <row r="62" spans="1:18" outlineLevel="1" x14ac:dyDescent="0.3">
      <c r="A62" s="34" t="s">
        <v>120</v>
      </c>
      <c r="B62" s="108" t="s">
        <v>118</v>
      </c>
      <c r="C62" s="108" t="s">
        <v>15</v>
      </c>
      <c r="D62" s="109">
        <v>5106120</v>
      </c>
      <c r="E62" s="109" t="s">
        <v>119</v>
      </c>
      <c r="F62" s="110">
        <f t="shared" si="10"/>
        <v>0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</row>
    <row r="63" spans="1:18" outlineLevel="1" x14ac:dyDescent="0.3">
      <c r="A63" s="34" t="s">
        <v>121</v>
      </c>
      <c r="B63" s="108" t="s">
        <v>118</v>
      </c>
      <c r="C63" s="108" t="s">
        <v>27</v>
      </c>
      <c r="D63" s="109">
        <v>5106130</v>
      </c>
      <c r="E63" s="109" t="s">
        <v>119</v>
      </c>
      <c r="F63" s="110">
        <f t="shared" si="10"/>
        <v>0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</row>
    <row r="64" spans="1:18" outlineLevel="1" x14ac:dyDescent="0.3">
      <c r="A64" s="34" t="s">
        <v>122</v>
      </c>
      <c r="B64" s="108" t="s">
        <v>7</v>
      </c>
      <c r="C64" s="108" t="s">
        <v>27</v>
      </c>
      <c r="D64" s="109">
        <v>5106140</v>
      </c>
      <c r="E64" s="109" t="s">
        <v>119</v>
      </c>
      <c r="F64" s="110">
        <f t="shared" si="10"/>
        <v>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</row>
    <row r="65" spans="1:18" outlineLevel="1" x14ac:dyDescent="0.3">
      <c r="A65" s="34" t="s">
        <v>123</v>
      </c>
      <c r="B65" s="108" t="s">
        <v>118</v>
      </c>
      <c r="C65" s="108" t="s">
        <v>15</v>
      </c>
      <c r="D65" s="109">
        <v>5106150</v>
      </c>
      <c r="E65" s="109" t="s">
        <v>119</v>
      </c>
      <c r="F65" s="110">
        <f t="shared" si="10"/>
        <v>0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</row>
    <row r="66" spans="1:18" outlineLevel="1" x14ac:dyDescent="0.3">
      <c r="A66" s="34" t="s">
        <v>124</v>
      </c>
      <c r="B66" s="108" t="s">
        <v>7</v>
      </c>
      <c r="C66" s="108" t="s">
        <v>27</v>
      </c>
      <c r="D66" s="109">
        <v>5106160</v>
      </c>
      <c r="E66" s="109" t="s">
        <v>119</v>
      </c>
      <c r="F66" s="110">
        <f t="shared" si="10"/>
        <v>0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</row>
    <row r="67" spans="1:18" outlineLevel="1" x14ac:dyDescent="0.3">
      <c r="A67" s="34" t="s">
        <v>125</v>
      </c>
      <c r="B67" s="108" t="s">
        <v>118</v>
      </c>
      <c r="C67" s="108" t="s">
        <v>15</v>
      </c>
      <c r="D67" s="109">
        <v>5106141</v>
      </c>
      <c r="E67" s="109" t="s">
        <v>119</v>
      </c>
      <c r="F67" s="110">
        <f t="shared" si="10"/>
        <v>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</row>
    <row r="68" spans="1:18" x14ac:dyDescent="0.3">
      <c r="A68" s="26" t="s">
        <v>126</v>
      </c>
      <c r="B68" s="112" t="s">
        <v>7</v>
      </c>
      <c r="C68" s="112"/>
      <c r="D68" s="113"/>
      <c r="E68" s="113"/>
      <c r="F68" s="114">
        <f t="shared" ref="F68:R68" si="11">SUM(F69:F78)</f>
        <v>0</v>
      </c>
      <c r="G68" s="114">
        <f t="shared" si="11"/>
        <v>0</v>
      </c>
      <c r="H68" s="114">
        <f t="shared" si="11"/>
        <v>0</v>
      </c>
      <c r="I68" s="114">
        <f t="shared" si="11"/>
        <v>0</v>
      </c>
      <c r="J68" s="114">
        <f t="shared" si="11"/>
        <v>0</v>
      </c>
      <c r="K68" s="114">
        <f t="shared" si="11"/>
        <v>0</v>
      </c>
      <c r="L68" s="114">
        <f t="shared" si="11"/>
        <v>0</v>
      </c>
      <c r="M68" s="114">
        <f t="shared" si="11"/>
        <v>0</v>
      </c>
      <c r="N68" s="114">
        <f t="shared" si="11"/>
        <v>0</v>
      </c>
      <c r="O68" s="114">
        <f t="shared" si="11"/>
        <v>0</v>
      </c>
      <c r="P68" s="114">
        <f t="shared" si="11"/>
        <v>0</v>
      </c>
      <c r="Q68" s="114">
        <f t="shared" si="11"/>
        <v>0</v>
      </c>
      <c r="R68" s="114">
        <f t="shared" si="11"/>
        <v>0</v>
      </c>
    </row>
    <row r="69" spans="1:18" outlineLevel="1" x14ac:dyDescent="0.3">
      <c r="A69" s="34" t="s">
        <v>127</v>
      </c>
      <c r="B69" s="108" t="s">
        <v>128</v>
      </c>
      <c r="C69" s="108" t="s">
        <v>15</v>
      </c>
      <c r="D69" s="109">
        <v>5107110</v>
      </c>
      <c r="E69" s="109" t="s">
        <v>129</v>
      </c>
      <c r="F69" s="110">
        <f t="shared" ref="F69:F78" si="12">SUM(G69:R69)</f>
        <v>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</row>
    <row r="70" spans="1:18" outlineLevel="1" x14ac:dyDescent="0.3">
      <c r="A70" s="34" t="s">
        <v>130</v>
      </c>
      <c r="B70" s="108" t="s">
        <v>128</v>
      </c>
      <c r="C70" s="108" t="s">
        <v>15</v>
      </c>
      <c r="D70" s="109">
        <v>5107130</v>
      </c>
      <c r="E70" s="109" t="s">
        <v>129</v>
      </c>
      <c r="F70" s="110">
        <f t="shared" si="12"/>
        <v>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</row>
    <row r="71" spans="1:18" outlineLevel="1" x14ac:dyDescent="0.3">
      <c r="A71" s="40" t="s">
        <v>131</v>
      </c>
      <c r="B71" s="108" t="s">
        <v>128</v>
      </c>
      <c r="C71" s="108" t="s">
        <v>15</v>
      </c>
      <c r="D71" s="109">
        <v>5107120</v>
      </c>
      <c r="E71" s="109" t="s">
        <v>129</v>
      </c>
      <c r="F71" s="110">
        <f t="shared" si="12"/>
        <v>0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</row>
    <row r="72" spans="1:18" outlineLevel="1" x14ac:dyDescent="0.3">
      <c r="A72" s="34" t="s">
        <v>132</v>
      </c>
      <c r="B72" s="108" t="s">
        <v>128</v>
      </c>
      <c r="C72" s="108" t="s">
        <v>15</v>
      </c>
      <c r="D72" s="109">
        <v>5107140</v>
      </c>
      <c r="E72" s="109" t="s">
        <v>129</v>
      </c>
      <c r="F72" s="110">
        <f t="shared" si="12"/>
        <v>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</row>
    <row r="73" spans="1:18" outlineLevel="1" x14ac:dyDescent="0.3">
      <c r="A73" s="34" t="s">
        <v>133</v>
      </c>
      <c r="B73" s="108" t="s">
        <v>128</v>
      </c>
      <c r="C73" s="108" t="s">
        <v>15</v>
      </c>
      <c r="D73" s="109">
        <v>5107150</v>
      </c>
      <c r="E73" s="109" t="s">
        <v>129</v>
      </c>
      <c r="F73" s="110">
        <f t="shared" si="12"/>
        <v>0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</row>
    <row r="74" spans="1:18" outlineLevel="1" x14ac:dyDescent="0.3">
      <c r="A74" s="34" t="s">
        <v>134</v>
      </c>
      <c r="B74" s="108" t="s">
        <v>128</v>
      </c>
      <c r="C74" s="108" t="s">
        <v>15</v>
      </c>
      <c r="D74" s="109">
        <v>5107160</v>
      </c>
      <c r="E74" s="109" t="s">
        <v>129</v>
      </c>
      <c r="F74" s="110">
        <f t="shared" si="12"/>
        <v>0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</row>
    <row r="75" spans="1:18" outlineLevel="1" x14ac:dyDescent="0.3">
      <c r="A75" s="34" t="s">
        <v>135</v>
      </c>
      <c r="B75" s="108" t="s">
        <v>128</v>
      </c>
      <c r="C75" s="108" t="s">
        <v>15</v>
      </c>
      <c r="D75" s="109">
        <v>5107170</v>
      </c>
      <c r="E75" s="109" t="s">
        <v>129</v>
      </c>
      <c r="F75" s="110">
        <f t="shared" si="12"/>
        <v>0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</row>
    <row r="76" spans="1:18" outlineLevel="1" x14ac:dyDescent="0.3">
      <c r="A76" s="34" t="s">
        <v>136</v>
      </c>
      <c r="B76" s="108" t="s">
        <v>128</v>
      </c>
      <c r="C76" s="108" t="s">
        <v>15</v>
      </c>
      <c r="D76" s="109">
        <v>5107180</v>
      </c>
      <c r="E76" s="109" t="s">
        <v>129</v>
      </c>
      <c r="F76" s="110">
        <f t="shared" si="12"/>
        <v>0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</row>
    <row r="77" spans="1:18" outlineLevel="1" x14ac:dyDescent="0.3">
      <c r="A77" s="64" t="s">
        <v>137</v>
      </c>
      <c r="B77" s="108" t="s">
        <v>138</v>
      </c>
      <c r="C77" s="108" t="s">
        <v>15</v>
      </c>
      <c r="D77" s="109">
        <v>5107190</v>
      </c>
      <c r="E77" s="109" t="s">
        <v>129</v>
      </c>
      <c r="F77" s="110">
        <f t="shared" si="12"/>
        <v>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</row>
    <row r="78" spans="1:18" outlineLevel="1" x14ac:dyDescent="0.3">
      <c r="A78" s="34" t="s">
        <v>139</v>
      </c>
      <c r="B78" s="108" t="s">
        <v>140</v>
      </c>
      <c r="C78" s="108" t="s">
        <v>15</v>
      </c>
      <c r="D78" s="109">
        <v>5107210</v>
      </c>
      <c r="E78" s="109" t="s">
        <v>141</v>
      </c>
      <c r="F78" s="110">
        <f t="shared" si="12"/>
        <v>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</row>
    <row r="79" spans="1:18" x14ac:dyDescent="0.3">
      <c r="A79" s="26" t="s">
        <v>142</v>
      </c>
      <c r="B79" s="112" t="s">
        <v>7</v>
      </c>
      <c r="C79" s="112"/>
      <c r="D79" s="113"/>
      <c r="E79" s="113"/>
      <c r="F79" s="114">
        <f t="shared" ref="F79:R79" si="13">SUM(F80:F87)</f>
        <v>0</v>
      </c>
      <c r="G79" s="114">
        <f t="shared" si="13"/>
        <v>0</v>
      </c>
      <c r="H79" s="114">
        <f t="shared" si="13"/>
        <v>0</v>
      </c>
      <c r="I79" s="114">
        <f t="shared" si="13"/>
        <v>0</v>
      </c>
      <c r="J79" s="114">
        <f t="shared" si="13"/>
        <v>0</v>
      </c>
      <c r="K79" s="114">
        <f t="shared" si="13"/>
        <v>0</v>
      </c>
      <c r="L79" s="114">
        <f t="shared" si="13"/>
        <v>0</v>
      </c>
      <c r="M79" s="114">
        <f t="shared" si="13"/>
        <v>0</v>
      </c>
      <c r="N79" s="114">
        <f t="shared" si="13"/>
        <v>0</v>
      </c>
      <c r="O79" s="114">
        <f t="shared" si="13"/>
        <v>0</v>
      </c>
      <c r="P79" s="114">
        <f t="shared" si="13"/>
        <v>0</v>
      </c>
      <c r="Q79" s="114">
        <f t="shared" si="13"/>
        <v>0</v>
      </c>
      <c r="R79" s="114">
        <f t="shared" si="13"/>
        <v>0</v>
      </c>
    </row>
    <row r="80" spans="1:18" outlineLevel="1" x14ac:dyDescent="0.3">
      <c r="A80" s="34" t="s">
        <v>143</v>
      </c>
      <c r="B80" s="108" t="s">
        <v>144</v>
      </c>
      <c r="C80" s="108" t="s">
        <v>15</v>
      </c>
      <c r="D80" s="109">
        <v>5108110</v>
      </c>
      <c r="E80" s="109" t="s">
        <v>145</v>
      </c>
      <c r="F80" s="110">
        <f t="shared" ref="F80:F87" si="14">SUM(G80:R80)</f>
        <v>0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</row>
    <row r="81" spans="1:18" outlineLevel="1" x14ac:dyDescent="0.3">
      <c r="A81" s="34" t="s">
        <v>146</v>
      </c>
      <c r="B81" s="108" t="s">
        <v>144</v>
      </c>
      <c r="C81" s="108" t="s">
        <v>15</v>
      </c>
      <c r="D81" s="109">
        <v>5108120</v>
      </c>
      <c r="E81" s="109" t="s">
        <v>145</v>
      </c>
      <c r="F81" s="110">
        <f t="shared" si="14"/>
        <v>0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</row>
    <row r="82" spans="1:18" outlineLevel="1" x14ac:dyDescent="0.3">
      <c r="A82" s="34" t="s">
        <v>147</v>
      </c>
      <c r="B82" s="108" t="s">
        <v>144</v>
      </c>
      <c r="C82" s="108" t="s">
        <v>15</v>
      </c>
      <c r="D82" s="109">
        <v>5108130</v>
      </c>
      <c r="E82" s="109" t="s">
        <v>145</v>
      </c>
      <c r="F82" s="110">
        <f t="shared" si="14"/>
        <v>0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</row>
    <row r="83" spans="1:18" outlineLevel="1" x14ac:dyDescent="0.3">
      <c r="A83" s="34" t="s">
        <v>148</v>
      </c>
      <c r="B83" s="108" t="s">
        <v>144</v>
      </c>
      <c r="C83" s="108" t="s">
        <v>15</v>
      </c>
      <c r="D83" s="109">
        <v>5108140</v>
      </c>
      <c r="E83" s="109" t="s">
        <v>145</v>
      </c>
      <c r="F83" s="110">
        <f t="shared" si="14"/>
        <v>0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</row>
    <row r="84" spans="1:18" outlineLevel="1" x14ac:dyDescent="0.3">
      <c r="A84" s="34" t="s">
        <v>149</v>
      </c>
      <c r="B84" s="108" t="s">
        <v>150</v>
      </c>
      <c r="C84" s="108" t="s">
        <v>15</v>
      </c>
      <c r="D84" s="109">
        <v>5108150</v>
      </c>
      <c r="E84" s="109" t="s">
        <v>151</v>
      </c>
      <c r="F84" s="110">
        <f t="shared" si="14"/>
        <v>0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</row>
    <row r="85" spans="1:18" outlineLevel="1" x14ac:dyDescent="0.3">
      <c r="A85" s="34" t="s">
        <v>152</v>
      </c>
      <c r="B85" s="108" t="s">
        <v>144</v>
      </c>
      <c r="C85" s="108" t="s">
        <v>15</v>
      </c>
      <c r="D85" s="109">
        <v>5108160</v>
      </c>
      <c r="E85" s="109" t="s">
        <v>145</v>
      </c>
      <c r="F85" s="110">
        <f t="shared" si="14"/>
        <v>0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</row>
    <row r="86" spans="1:18" outlineLevel="1" x14ac:dyDescent="0.3">
      <c r="A86" s="34" t="s">
        <v>153</v>
      </c>
      <c r="B86" s="108" t="s">
        <v>153</v>
      </c>
      <c r="C86" s="108" t="s">
        <v>15</v>
      </c>
      <c r="D86" s="109">
        <v>5108161</v>
      </c>
      <c r="E86" s="109" t="s">
        <v>154</v>
      </c>
      <c r="F86" s="110">
        <f t="shared" si="14"/>
        <v>0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</row>
    <row r="87" spans="1:18" outlineLevel="1" x14ac:dyDescent="0.3">
      <c r="A87" s="34" t="s">
        <v>155</v>
      </c>
      <c r="B87" s="108" t="s">
        <v>155</v>
      </c>
      <c r="C87" s="108" t="s">
        <v>15</v>
      </c>
      <c r="D87" s="109">
        <v>5108162</v>
      </c>
      <c r="E87" s="109" t="s">
        <v>156</v>
      </c>
      <c r="F87" s="110">
        <f t="shared" si="14"/>
        <v>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</row>
    <row r="88" spans="1:18" x14ac:dyDescent="0.3">
      <c r="A88" s="26" t="s">
        <v>157</v>
      </c>
      <c r="B88" s="112" t="s">
        <v>7</v>
      </c>
      <c r="C88" s="112"/>
      <c r="D88" s="113"/>
      <c r="E88" s="113"/>
      <c r="F88" s="114">
        <f t="shared" ref="F88:R88" si="15">SUM(F89:F99)</f>
        <v>641324760</v>
      </c>
      <c r="G88" s="114">
        <f t="shared" si="15"/>
        <v>53443730</v>
      </c>
      <c r="H88" s="114">
        <f t="shared" si="15"/>
        <v>53443730</v>
      </c>
      <c r="I88" s="114">
        <f t="shared" si="15"/>
        <v>53443730</v>
      </c>
      <c r="J88" s="114">
        <f t="shared" si="15"/>
        <v>53443730</v>
      </c>
      <c r="K88" s="114">
        <f t="shared" si="15"/>
        <v>53443730</v>
      </c>
      <c r="L88" s="114">
        <f t="shared" si="15"/>
        <v>53443730</v>
      </c>
      <c r="M88" s="114">
        <f t="shared" si="15"/>
        <v>53443730</v>
      </c>
      <c r="N88" s="114">
        <f t="shared" si="15"/>
        <v>53443730</v>
      </c>
      <c r="O88" s="114">
        <f t="shared" si="15"/>
        <v>53443730</v>
      </c>
      <c r="P88" s="114">
        <f t="shared" si="15"/>
        <v>53443730</v>
      </c>
      <c r="Q88" s="114">
        <f t="shared" si="15"/>
        <v>53443730</v>
      </c>
      <c r="R88" s="114">
        <f t="shared" si="15"/>
        <v>53443730</v>
      </c>
    </row>
    <row r="89" spans="1:18" outlineLevel="1" x14ac:dyDescent="0.3">
      <c r="A89" s="34" t="s">
        <v>158</v>
      </c>
      <c r="B89" s="108" t="s">
        <v>159</v>
      </c>
      <c r="C89" s="108" t="s">
        <v>15</v>
      </c>
      <c r="D89" s="109">
        <v>5109110</v>
      </c>
      <c r="E89" s="109" t="s">
        <v>160</v>
      </c>
      <c r="F89" s="110">
        <f t="shared" ref="F89:F99" si="16">SUM(G89:R89)</f>
        <v>0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</row>
    <row r="90" spans="1:18" outlineLevel="1" x14ac:dyDescent="0.3">
      <c r="A90" s="34" t="s">
        <v>161</v>
      </c>
      <c r="B90" s="108" t="s">
        <v>159</v>
      </c>
      <c r="C90" s="108" t="s">
        <v>15</v>
      </c>
      <c r="D90" s="109">
        <v>5109120</v>
      </c>
      <c r="E90" s="109" t="s">
        <v>160</v>
      </c>
      <c r="F90" s="110">
        <f t="shared" si="16"/>
        <v>0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</row>
    <row r="91" spans="1:18" outlineLevel="1" x14ac:dyDescent="0.3">
      <c r="A91" s="34" t="s">
        <v>162</v>
      </c>
      <c r="B91" s="108" t="s">
        <v>159</v>
      </c>
      <c r="C91" s="108" t="s">
        <v>15</v>
      </c>
      <c r="D91" s="109">
        <v>5109130</v>
      </c>
      <c r="E91" s="109" t="s">
        <v>160</v>
      </c>
      <c r="F91" s="110">
        <f t="shared" si="16"/>
        <v>183936396</v>
      </c>
      <c r="G91" s="110">
        <v>15328033</v>
      </c>
      <c r="H91" s="110">
        <f>G91</f>
        <v>15328033</v>
      </c>
      <c r="I91" s="110">
        <f t="shared" ref="I91:R92" si="17">H91</f>
        <v>15328033</v>
      </c>
      <c r="J91" s="110">
        <f t="shared" si="17"/>
        <v>15328033</v>
      </c>
      <c r="K91" s="110">
        <f t="shared" si="17"/>
        <v>15328033</v>
      </c>
      <c r="L91" s="110">
        <f t="shared" si="17"/>
        <v>15328033</v>
      </c>
      <c r="M91" s="110">
        <f t="shared" si="17"/>
        <v>15328033</v>
      </c>
      <c r="N91" s="110">
        <f t="shared" si="17"/>
        <v>15328033</v>
      </c>
      <c r="O91" s="110">
        <f t="shared" si="17"/>
        <v>15328033</v>
      </c>
      <c r="P91" s="110">
        <f t="shared" si="17"/>
        <v>15328033</v>
      </c>
      <c r="Q91" s="110">
        <f t="shared" si="17"/>
        <v>15328033</v>
      </c>
      <c r="R91" s="110">
        <f t="shared" si="17"/>
        <v>15328033</v>
      </c>
    </row>
    <row r="92" spans="1:18" outlineLevel="1" x14ac:dyDescent="0.3">
      <c r="A92" s="40" t="s">
        <v>163</v>
      </c>
      <c r="B92" s="108" t="s">
        <v>159</v>
      </c>
      <c r="C92" s="108" t="s">
        <v>15</v>
      </c>
      <c r="D92" s="109">
        <v>5109140</v>
      </c>
      <c r="E92" s="109" t="s">
        <v>160</v>
      </c>
      <c r="F92" s="110">
        <f t="shared" si="16"/>
        <v>457388364</v>
      </c>
      <c r="G92" s="110">
        <v>38115697</v>
      </c>
      <c r="H92" s="110">
        <f>G92</f>
        <v>38115697</v>
      </c>
      <c r="I92" s="110">
        <f t="shared" si="17"/>
        <v>38115697</v>
      </c>
      <c r="J92" s="110">
        <f t="shared" si="17"/>
        <v>38115697</v>
      </c>
      <c r="K92" s="110">
        <f t="shared" si="17"/>
        <v>38115697</v>
      </c>
      <c r="L92" s="110">
        <f t="shared" si="17"/>
        <v>38115697</v>
      </c>
      <c r="M92" s="110">
        <f t="shared" si="17"/>
        <v>38115697</v>
      </c>
      <c r="N92" s="110">
        <f t="shared" si="17"/>
        <v>38115697</v>
      </c>
      <c r="O92" s="110">
        <f t="shared" si="17"/>
        <v>38115697</v>
      </c>
      <c r="P92" s="110">
        <f t="shared" si="17"/>
        <v>38115697</v>
      </c>
      <c r="Q92" s="110">
        <f t="shared" si="17"/>
        <v>38115697</v>
      </c>
      <c r="R92" s="110">
        <f t="shared" si="17"/>
        <v>38115697</v>
      </c>
    </row>
    <row r="93" spans="1:18" outlineLevel="1" x14ac:dyDescent="0.3">
      <c r="A93" s="34" t="s">
        <v>164</v>
      </c>
      <c r="B93" s="108" t="s">
        <v>159</v>
      </c>
      <c r="C93" s="108" t="s">
        <v>15</v>
      </c>
      <c r="D93" s="109">
        <v>5109150</v>
      </c>
      <c r="E93" s="109" t="s">
        <v>160</v>
      </c>
      <c r="F93" s="110">
        <f t="shared" si="16"/>
        <v>0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</row>
    <row r="94" spans="1:18" outlineLevel="1" x14ac:dyDescent="0.3">
      <c r="A94" s="34" t="s">
        <v>165</v>
      </c>
      <c r="B94" s="108" t="s">
        <v>159</v>
      </c>
      <c r="C94" s="108" t="s">
        <v>15</v>
      </c>
      <c r="D94" s="109">
        <v>5109160</v>
      </c>
      <c r="E94" s="109" t="s">
        <v>160</v>
      </c>
      <c r="F94" s="110">
        <f t="shared" si="16"/>
        <v>0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</row>
    <row r="95" spans="1:18" outlineLevel="1" x14ac:dyDescent="0.3">
      <c r="A95" s="34" t="s">
        <v>166</v>
      </c>
      <c r="B95" s="108" t="s">
        <v>159</v>
      </c>
      <c r="C95" s="108" t="s">
        <v>15</v>
      </c>
      <c r="D95" s="109">
        <v>5109170</v>
      </c>
      <c r="E95" s="109" t="s">
        <v>160</v>
      </c>
      <c r="F95" s="110">
        <f t="shared" si="16"/>
        <v>0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</row>
    <row r="96" spans="1:18" outlineLevel="1" x14ac:dyDescent="0.3">
      <c r="A96" s="34" t="s">
        <v>167</v>
      </c>
      <c r="B96" s="108" t="s">
        <v>159</v>
      </c>
      <c r="C96" s="108" t="s">
        <v>15</v>
      </c>
      <c r="D96" s="109">
        <v>5109180</v>
      </c>
      <c r="E96" s="109" t="s">
        <v>160</v>
      </c>
      <c r="F96" s="110">
        <f t="shared" si="16"/>
        <v>0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</row>
    <row r="97" spans="1:18" outlineLevel="1" x14ac:dyDescent="0.3">
      <c r="A97" s="34" t="s">
        <v>168</v>
      </c>
      <c r="B97" s="108" t="s">
        <v>159</v>
      </c>
      <c r="C97" s="108" t="s">
        <v>15</v>
      </c>
      <c r="D97" s="109">
        <v>5109190</v>
      </c>
      <c r="E97" s="109" t="s">
        <v>160</v>
      </c>
      <c r="F97" s="110">
        <f t="shared" si="16"/>
        <v>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</row>
    <row r="98" spans="1:18" outlineLevel="1" x14ac:dyDescent="0.3">
      <c r="A98" s="34" t="s">
        <v>169</v>
      </c>
      <c r="B98" s="108" t="s">
        <v>159</v>
      </c>
      <c r="C98" s="108" t="s">
        <v>15</v>
      </c>
      <c r="D98" s="109">
        <v>5109210</v>
      </c>
      <c r="E98" s="109" t="s">
        <v>160</v>
      </c>
      <c r="F98" s="110">
        <f t="shared" si="16"/>
        <v>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</row>
    <row r="99" spans="1:18" outlineLevel="1" x14ac:dyDescent="0.3">
      <c r="A99" s="34" t="s">
        <v>170</v>
      </c>
      <c r="B99" s="108" t="s">
        <v>159</v>
      </c>
      <c r="C99" s="108" t="s">
        <v>15</v>
      </c>
      <c r="D99" s="109">
        <v>5109220</v>
      </c>
      <c r="E99" s="109" t="s">
        <v>160</v>
      </c>
      <c r="F99" s="110">
        <f t="shared" si="16"/>
        <v>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</row>
    <row r="100" spans="1:18" x14ac:dyDescent="0.3">
      <c r="A100" s="26" t="s">
        <v>171</v>
      </c>
      <c r="B100" s="112" t="s">
        <v>7</v>
      </c>
      <c r="C100" s="112"/>
      <c r="D100" s="113"/>
      <c r="E100" s="113"/>
      <c r="F100" s="114">
        <f t="shared" ref="F100:R100" si="18">SUM(F101:F106)</f>
        <v>213999996</v>
      </c>
      <c r="G100" s="114">
        <f t="shared" si="18"/>
        <v>11133333</v>
      </c>
      <c r="H100" s="114">
        <f t="shared" si="18"/>
        <v>21133333</v>
      </c>
      <c r="I100" s="114">
        <f t="shared" si="18"/>
        <v>21233333</v>
      </c>
      <c r="J100" s="114">
        <f t="shared" si="18"/>
        <v>11133333</v>
      </c>
      <c r="K100" s="114">
        <f t="shared" si="18"/>
        <v>21133333</v>
      </c>
      <c r="L100" s="114">
        <f t="shared" si="18"/>
        <v>21233333</v>
      </c>
      <c r="M100" s="114">
        <f t="shared" si="18"/>
        <v>11133333</v>
      </c>
      <c r="N100" s="114">
        <f t="shared" si="18"/>
        <v>21133333</v>
      </c>
      <c r="O100" s="114">
        <f t="shared" si="18"/>
        <v>21233333</v>
      </c>
      <c r="P100" s="114">
        <f t="shared" si="18"/>
        <v>11133333</v>
      </c>
      <c r="Q100" s="114">
        <f t="shared" si="18"/>
        <v>21133333</v>
      </c>
      <c r="R100" s="114">
        <f t="shared" si="18"/>
        <v>21233333</v>
      </c>
    </row>
    <row r="101" spans="1:18" outlineLevel="1" x14ac:dyDescent="0.3">
      <c r="A101" s="34" t="s">
        <v>172</v>
      </c>
      <c r="B101" s="108" t="s">
        <v>173</v>
      </c>
      <c r="C101" s="108" t="s">
        <v>15</v>
      </c>
      <c r="D101" s="109">
        <v>5110110</v>
      </c>
      <c r="E101" s="109" t="s">
        <v>174</v>
      </c>
      <c r="F101" s="110">
        <f t="shared" ref="F101:F106" si="19">SUM(G101:R101)</f>
        <v>0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</row>
    <row r="102" spans="1:18" outlineLevel="1" x14ac:dyDescent="0.3">
      <c r="A102" s="34" t="s">
        <v>175</v>
      </c>
      <c r="B102" s="108" t="s">
        <v>173</v>
      </c>
      <c r="C102" s="108" t="s">
        <v>15</v>
      </c>
      <c r="D102" s="109">
        <v>5110120</v>
      </c>
      <c r="E102" s="109" t="s">
        <v>174</v>
      </c>
      <c r="F102" s="110">
        <f t="shared" si="19"/>
        <v>0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</row>
    <row r="103" spans="1:18" s="118" customFormat="1" outlineLevel="1" x14ac:dyDescent="0.3">
      <c r="A103" s="54" t="s">
        <v>176</v>
      </c>
      <c r="B103" s="115" t="s">
        <v>173</v>
      </c>
      <c r="C103" s="115" t="s">
        <v>27</v>
      </c>
      <c r="D103" s="116">
        <v>5110130</v>
      </c>
      <c r="E103" s="116" t="s">
        <v>174</v>
      </c>
      <c r="F103" s="117">
        <f t="shared" si="19"/>
        <v>0</v>
      </c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</row>
    <row r="104" spans="1:18" s="118" customFormat="1" outlineLevel="1" x14ac:dyDescent="0.3">
      <c r="A104" s="54" t="s">
        <v>177</v>
      </c>
      <c r="B104" s="115" t="s">
        <v>173</v>
      </c>
      <c r="C104" s="115" t="s">
        <v>27</v>
      </c>
      <c r="D104" s="116">
        <v>5110140</v>
      </c>
      <c r="E104" s="116" t="s">
        <v>174</v>
      </c>
      <c r="F104" s="117">
        <f t="shared" si="19"/>
        <v>209999996</v>
      </c>
      <c r="G104" s="119">
        <f>20833333-10000000</f>
        <v>10833333</v>
      </c>
      <c r="H104" s="117">
        <v>20833333</v>
      </c>
      <c r="I104" s="117">
        <v>20833333</v>
      </c>
      <c r="J104" s="119">
        <f>20833333-10000000</f>
        <v>10833333</v>
      </c>
      <c r="K104" s="117">
        <v>20833333</v>
      </c>
      <c r="L104" s="117">
        <v>20833333</v>
      </c>
      <c r="M104" s="119">
        <f>20833333-10000000</f>
        <v>10833333</v>
      </c>
      <c r="N104" s="117">
        <v>20833333</v>
      </c>
      <c r="O104" s="117">
        <v>20833333</v>
      </c>
      <c r="P104" s="119">
        <f>20833333-10000000</f>
        <v>10833333</v>
      </c>
      <c r="Q104" s="117">
        <v>20833333</v>
      </c>
      <c r="R104" s="117">
        <v>20833333</v>
      </c>
    </row>
    <row r="105" spans="1:18" s="118" customFormat="1" outlineLevel="1" x14ac:dyDescent="0.3">
      <c r="A105" s="54" t="s">
        <v>178</v>
      </c>
      <c r="B105" s="115" t="s">
        <v>179</v>
      </c>
      <c r="C105" s="115" t="s">
        <v>15</v>
      </c>
      <c r="D105" s="116">
        <v>5110150</v>
      </c>
      <c r="E105" s="116" t="s">
        <v>180</v>
      </c>
      <c r="F105" s="117">
        <f t="shared" si="19"/>
        <v>4000000</v>
      </c>
      <c r="G105" s="117">
        <v>300000</v>
      </c>
      <c r="H105" s="117">
        <v>300000</v>
      </c>
      <c r="I105" s="117">
        <v>400000</v>
      </c>
      <c r="J105" s="117">
        <v>300000</v>
      </c>
      <c r="K105" s="117">
        <v>300000</v>
      </c>
      <c r="L105" s="117">
        <v>400000</v>
      </c>
      <c r="M105" s="117">
        <v>300000</v>
      </c>
      <c r="N105" s="117">
        <v>300000</v>
      </c>
      <c r="O105" s="117">
        <v>400000</v>
      </c>
      <c r="P105" s="117">
        <v>300000</v>
      </c>
      <c r="Q105" s="117">
        <v>300000</v>
      </c>
      <c r="R105" s="117">
        <v>400000</v>
      </c>
    </row>
    <row r="106" spans="1:18" s="118" customFormat="1" outlineLevel="1" x14ac:dyDescent="0.3">
      <c r="A106" s="54" t="s">
        <v>181</v>
      </c>
      <c r="B106" s="115" t="s">
        <v>179</v>
      </c>
      <c r="C106" s="115" t="s">
        <v>15</v>
      </c>
      <c r="D106" s="116" t="s">
        <v>182</v>
      </c>
      <c r="E106" s="116"/>
      <c r="F106" s="117">
        <f t="shared" si="19"/>
        <v>0</v>
      </c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</row>
    <row r="107" spans="1:18" x14ac:dyDescent="0.3">
      <c r="A107" s="26" t="s">
        <v>183</v>
      </c>
      <c r="B107" s="112" t="s">
        <v>7</v>
      </c>
      <c r="C107" s="112"/>
      <c r="D107" s="113"/>
      <c r="E107" s="113"/>
      <c r="F107" s="114">
        <f t="shared" ref="F107:R107" si="20">SUM(F108:F114)</f>
        <v>0</v>
      </c>
      <c r="G107" s="114">
        <f t="shared" si="20"/>
        <v>0</v>
      </c>
      <c r="H107" s="114">
        <f t="shared" si="20"/>
        <v>0</v>
      </c>
      <c r="I107" s="114">
        <f t="shared" si="20"/>
        <v>0</v>
      </c>
      <c r="J107" s="114">
        <f t="shared" si="20"/>
        <v>0</v>
      </c>
      <c r="K107" s="114">
        <f t="shared" si="20"/>
        <v>0</v>
      </c>
      <c r="L107" s="114">
        <f t="shared" si="20"/>
        <v>0</v>
      </c>
      <c r="M107" s="114">
        <f t="shared" si="20"/>
        <v>0</v>
      </c>
      <c r="N107" s="114">
        <f t="shared" si="20"/>
        <v>0</v>
      </c>
      <c r="O107" s="114">
        <f t="shared" si="20"/>
        <v>0</v>
      </c>
      <c r="P107" s="114">
        <f t="shared" si="20"/>
        <v>0</v>
      </c>
      <c r="Q107" s="114">
        <f t="shared" si="20"/>
        <v>0</v>
      </c>
      <c r="R107" s="114">
        <f t="shared" si="20"/>
        <v>0</v>
      </c>
    </row>
    <row r="108" spans="1:18" outlineLevel="1" x14ac:dyDescent="0.3">
      <c r="A108" s="34" t="s">
        <v>184</v>
      </c>
      <c r="B108" s="108" t="s">
        <v>185</v>
      </c>
      <c r="C108" s="108" t="s">
        <v>15</v>
      </c>
      <c r="D108" s="109">
        <v>5111110</v>
      </c>
      <c r="E108" s="109" t="s">
        <v>186</v>
      </c>
      <c r="F108" s="110">
        <f t="shared" ref="F108:F114" si="21">SUM(G108:R108)</f>
        <v>0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</row>
    <row r="109" spans="1:18" outlineLevel="1" x14ac:dyDescent="0.3">
      <c r="A109" s="34" t="s">
        <v>187</v>
      </c>
      <c r="B109" s="108" t="s">
        <v>185</v>
      </c>
      <c r="C109" s="108" t="s">
        <v>15</v>
      </c>
      <c r="D109" s="109">
        <v>5111120</v>
      </c>
      <c r="E109" s="109" t="s">
        <v>186</v>
      </c>
      <c r="F109" s="110">
        <f t="shared" si="21"/>
        <v>0</v>
      </c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</row>
    <row r="110" spans="1:18" outlineLevel="1" x14ac:dyDescent="0.3">
      <c r="A110" s="34" t="s">
        <v>188</v>
      </c>
      <c r="B110" s="108" t="s">
        <v>185</v>
      </c>
      <c r="C110" s="108" t="s">
        <v>15</v>
      </c>
      <c r="D110" s="109">
        <v>5111130</v>
      </c>
      <c r="E110" s="109" t="s">
        <v>186</v>
      </c>
      <c r="F110" s="110">
        <f t="shared" si="21"/>
        <v>0</v>
      </c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</row>
    <row r="111" spans="1:18" outlineLevel="1" x14ac:dyDescent="0.3">
      <c r="A111" s="34" t="s">
        <v>189</v>
      </c>
      <c r="B111" s="108" t="s">
        <v>185</v>
      </c>
      <c r="C111" s="108" t="s">
        <v>15</v>
      </c>
      <c r="D111" s="109">
        <v>5111140</v>
      </c>
      <c r="E111" s="109" t="s">
        <v>186</v>
      </c>
      <c r="F111" s="110">
        <f t="shared" si="21"/>
        <v>0</v>
      </c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</row>
    <row r="112" spans="1:18" outlineLevel="1" x14ac:dyDescent="0.3">
      <c r="A112" s="34" t="s">
        <v>190</v>
      </c>
      <c r="B112" s="108" t="s">
        <v>185</v>
      </c>
      <c r="C112" s="108" t="s">
        <v>15</v>
      </c>
      <c r="D112" s="109">
        <v>5111150</v>
      </c>
      <c r="E112" s="109" t="s">
        <v>186</v>
      </c>
      <c r="F112" s="110">
        <f t="shared" si="21"/>
        <v>0</v>
      </c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</row>
    <row r="113" spans="1:18" outlineLevel="1" x14ac:dyDescent="0.3">
      <c r="A113" s="34" t="s">
        <v>191</v>
      </c>
      <c r="B113" s="108" t="s">
        <v>185</v>
      </c>
      <c r="C113" s="108" t="s">
        <v>15</v>
      </c>
      <c r="D113" s="109">
        <v>5111160</v>
      </c>
      <c r="E113" s="109" t="s">
        <v>186</v>
      </c>
      <c r="F113" s="110">
        <f t="shared" si="21"/>
        <v>0</v>
      </c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</row>
    <row r="114" spans="1:18" outlineLevel="1" x14ac:dyDescent="0.3">
      <c r="A114" s="34" t="s">
        <v>192</v>
      </c>
      <c r="B114" s="108" t="s">
        <v>185</v>
      </c>
      <c r="C114" s="108" t="s">
        <v>15</v>
      </c>
      <c r="D114" s="109">
        <v>5111141</v>
      </c>
      <c r="E114" s="109" t="s">
        <v>186</v>
      </c>
      <c r="F114" s="110">
        <f t="shared" si="21"/>
        <v>0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</row>
    <row r="115" spans="1:18" x14ac:dyDescent="0.3">
      <c r="A115" s="26" t="s">
        <v>193</v>
      </c>
      <c r="B115" s="112" t="s">
        <v>7</v>
      </c>
      <c r="C115" s="112"/>
      <c r="D115" s="113"/>
      <c r="E115" s="113"/>
      <c r="F115" s="114">
        <f t="shared" ref="F115:R115" si="22">SUM(F116:F117)</f>
        <v>0</v>
      </c>
      <c r="G115" s="114">
        <f t="shared" si="22"/>
        <v>0</v>
      </c>
      <c r="H115" s="114">
        <f t="shared" si="22"/>
        <v>0</v>
      </c>
      <c r="I115" s="114">
        <f t="shared" si="22"/>
        <v>0</v>
      </c>
      <c r="J115" s="114">
        <f t="shared" si="22"/>
        <v>0</v>
      </c>
      <c r="K115" s="114">
        <f t="shared" si="22"/>
        <v>0</v>
      </c>
      <c r="L115" s="114">
        <f t="shared" si="22"/>
        <v>0</v>
      </c>
      <c r="M115" s="114">
        <f t="shared" si="22"/>
        <v>0</v>
      </c>
      <c r="N115" s="114">
        <f t="shared" si="22"/>
        <v>0</v>
      </c>
      <c r="O115" s="114">
        <f t="shared" si="22"/>
        <v>0</v>
      </c>
      <c r="P115" s="114">
        <f t="shared" si="22"/>
        <v>0</v>
      </c>
      <c r="Q115" s="114">
        <f t="shared" si="22"/>
        <v>0</v>
      </c>
      <c r="R115" s="114">
        <f t="shared" si="22"/>
        <v>0</v>
      </c>
    </row>
    <row r="116" spans="1:18" outlineLevel="1" x14ac:dyDescent="0.3">
      <c r="A116" s="34" t="s">
        <v>194</v>
      </c>
      <c r="B116" s="108" t="s">
        <v>195</v>
      </c>
      <c r="C116" s="108" t="s">
        <v>15</v>
      </c>
      <c r="D116" s="109">
        <v>5112110</v>
      </c>
      <c r="E116" s="109" t="s">
        <v>196</v>
      </c>
      <c r="F116" s="110">
        <f>SUM(G116:R116)</f>
        <v>0</v>
      </c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</row>
    <row r="117" spans="1:18" outlineLevel="1" x14ac:dyDescent="0.3">
      <c r="A117" s="34" t="s">
        <v>197</v>
      </c>
      <c r="B117" s="108" t="s">
        <v>197</v>
      </c>
      <c r="C117" s="108" t="s">
        <v>15</v>
      </c>
      <c r="D117" s="109">
        <v>5112120</v>
      </c>
      <c r="E117" s="109" t="s">
        <v>198</v>
      </c>
      <c r="F117" s="110">
        <f>SUM(G117:R117)</f>
        <v>0</v>
      </c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</row>
    <row r="118" spans="1:18" x14ac:dyDescent="0.3">
      <c r="A118" s="26" t="s">
        <v>199</v>
      </c>
      <c r="B118" s="112" t="s">
        <v>7</v>
      </c>
      <c r="C118" s="112"/>
      <c r="D118" s="113"/>
      <c r="E118" s="113"/>
      <c r="F118" s="114">
        <f t="shared" ref="F118:R118" si="23">SUM(F119:F127)</f>
        <v>557999996</v>
      </c>
      <c r="G118" s="114">
        <f t="shared" si="23"/>
        <v>46483333</v>
      </c>
      <c r="H118" s="114">
        <f t="shared" si="23"/>
        <v>46483333</v>
      </c>
      <c r="I118" s="114">
        <f t="shared" si="23"/>
        <v>46533333</v>
      </c>
      <c r="J118" s="114">
        <f t="shared" si="23"/>
        <v>46483333</v>
      </c>
      <c r="K118" s="114">
        <f t="shared" si="23"/>
        <v>46483333</v>
      </c>
      <c r="L118" s="114">
        <f t="shared" si="23"/>
        <v>46533333</v>
      </c>
      <c r="M118" s="114">
        <f t="shared" si="23"/>
        <v>46483333</v>
      </c>
      <c r="N118" s="114">
        <f t="shared" si="23"/>
        <v>46483333</v>
      </c>
      <c r="O118" s="114">
        <f t="shared" si="23"/>
        <v>46533333</v>
      </c>
      <c r="P118" s="114">
        <f t="shared" si="23"/>
        <v>46483333</v>
      </c>
      <c r="Q118" s="114">
        <f t="shared" si="23"/>
        <v>46483333</v>
      </c>
      <c r="R118" s="114">
        <f t="shared" si="23"/>
        <v>46533333</v>
      </c>
    </row>
    <row r="119" spans="1:18" outlineLevel="1" x14ac:dyDescent="0.3">
      <c r="A119" s="34" t="s">
        <v>200</v>
      </c>
      <c r="B119" s="108" t="s">
        <v>201</v>
      </c>
      <c r="C119" s="108" t="s">
        <v>27</v>
      </c>
      <c r="D119" s="109">
        <v>5113110</v>
      </c>
      <c r="E119" s="109" t="s">
        <v>202</v>
      </c>
      <c r="F119" s="110">
        <f t="shared" ref="F119:F127" si="24">SUM(G119:R119)</f>
        <v>0</v>
      </c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</row>
    <row r="120" spans="1:18" s="118" customFormat="1" outlineLevel="1" x14ac:dyDescent="0.3">
      <c r="A120" s="54" t="s">
        <v>203</v>
      </c>
      <c r="B120" s="115" t="s">
        <v>204</v>
      </c>
      <c r="C120" s="115" t="s">
        <v>27</v>
      </c>
      <c r="D120" s="116">
        <v>5113120</v>
      </c>
      <c r="E120" s="116" t="s">
        <v>205</v>
      </c>
      <c r="F120" s="117">
        <f t="shared" si="24"/>
        <v>1400000</v>
      </c>
      <c r="G120" s="117">
        <v>100000</v>
      </c>
      <c r="H120" s="117">
        <v>100000</v>
      </c>
      <c r="I120" s="117">
        <v>150000</v>
      </c>
      <c r="J120" s="117">
        <v>100000</v>
      </c>
      <c r="K120" s="117">
        <v>100000</v>
      </c>
      <c r="L120" s="117">
        <v>150000</v>
      </c>
      <c r="M120" s="117">
        <v>100000</v>
      </c>
      <c r="N120" s="117">
        <v>100000</v>
      </c>
      <c r="O120" s="117">
        <v>150000</v>
      </c>
      <c r="P120" s="117">
        <v>100000</v>
      </c>
      <c r="Q120" s="117">
        <v>100000</v>
      </c>
      <c r="R120" s="117">
        <v>150000</v>
      </c>
    </row>
    <row r="121" spans="1:18" s="118" customFormat="1" outlineLevel="1" x14ac:dyDescent="0.3">
      <c r="A121" s="54" t="s">
        <v>206</v>
      </c>
      <c r="B121" s="115" t="s">
        <v>207</v>
      </c>
      <c r="C121" s="115" t="s">
        <v>27</v>
      </c>
      <c r="D121" s="116">
        <v>5113130</v>
      </c>
      <c r="E121" s="116" t="s">
        <v>208</v>
      </c>
      <c r="F121" s="117">
        <f t="shared" si="24"/>
        <v>6600000</v>
      </c>
      <c r="G121" s="117">
        <v>550000</v>
      </c>
      <c r="H121" s="117">
        <v>550000</v>
      </c>
      <c r="I121" s="117">
        <v>550000</v>
      </c>
      <c r="J121" s="117">
        <v>550000</v>
      </c>
      <c r="K121" s="117">
        <v>550000</v>
      </c>
      <c r="L121" s="117">
        <v>550000</v>
      </c>
      <c r="M121" s="117">
        <v>550000</v>
      </c>
      <c r="N121" s="117">
        <v>550000</v>
      </c>
      <c r="O121" s="117">
        <v>550000</v>
      </c>
      <c r="P121" s="117">
        <v>550000</v>
      </c>
      <c r="Q121" s="117">
        <v>550000</v>
      </c>
      <c r="R121" s="117">
        <v>550000</v>
      </c>
    </row>
    <row r="122" spans="1:18" s="118" customFormat="1" outlineLevel="1" x14ac:dyDescent="0.3">
      <c r="A122" s="54" t="s">
        <v>209</v>
      </c>
      <c r="B122" s="115" t="s">
        <v>207</v>
      </c>
      <c r="C122" s="115" t="s">
        <v>27</v>
      </c>
      <c r="D122" s="116">
        <v>5113140</v>
      </c>
      <c r="E122" s="116" t="s">
        <v>208</v>
      </c>
      <c r="F122" s="117">
        <f t="shared" si="24"/>
        <v>0</v>
      </c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</row>
    <row r="123" spans="1:18" s="118" customFormat="1" outlineLevel="1" x14ac:dyDescent="0.3">
      <c r="A123" s="54" t="s">
        <v>210</v>
      </c>
      <c r="B123" s="115" t="s">
        <v>211</v>
      </c>
      <c r="C123" s="115" t="s">
        <v>27</v>
      </c>
      <c r="D123" s="116">
        <v>5113150</v>
      </c>
      <c r="E123" s="116" t="s">
        <v>212</v>
      </c>
      <c r="F123" s="117">
        <f t="shared" si="24"/>
        <v>0</v>
      </c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</row>
    <row r="124" spans="1:18" s="118" customFormat="1" outlineLevel="1" x14ac:dyDescent="0.3">
      <c r="A124" s="54" t="s">
        <v>213</v>
      </c>
      <c r="B124" s="115" t="s">
        <v>207</v>
      </c>
      <c r="C124" s="115" t="s">
        <v>27</v>
      </c>
      <c r="D124" s="116"/>
      <c r="E124" s="116" t="s">
        <v>208</v>
      </c>
      <c r="F124" s="117">
        <f t="shared" si="24"/>
        <v>399999996</v>
      </c>
      <c r="G124" s="117">
        <v>33333333</v>
      </c>
      <c r="H124" s="117">
        <v>33333333</v>
      </c>
      <c r="I124" s="117">
        <v>33333333</v>
      </c>
      <c r="J124" s="117">
        <v>33333333</v>
      </c>
      <c r="K124" s="117">
        <v>33333333</v>
      </c>
      <c r="L124" s="117">
        <v>33333333</v>
      </c>
      <c r="M124" s="117">
        <v>33333333</v>
      </c>
      <c r="N124" s="117">
        <v>33333333</v>
      </c>
      <c r="O124" s="117">
        <v>33333333</v>
      </c>
      <c r="P124" s="117">
        <v>33333333</v>
      </c>
      <c r="Q124" s="117">
        <v>33333333</v>
      </c>
      <c r="R124" s="117">
        <v>33333333</v>
      </c>
    </row>
    <row r="125" spans="1:18" s="118" customFormat="1" outlineLevel="1" x14ac:dyDescent="0.3">
      <c r="A125" s="54" t="s">
        <v>214</v>
      </c>
      <c r="B125" s="115" t="s">
        <v>207</v>
      </c>
      <c r="C125" s="115" t="s">
        <v>27</v>
      </c>
      <c r="D125" s="116">
        <v>5113170</v>
      </c>
      <c r="E125" s="116" t="s">
        <v>208</v>
      </c>
      <c r="F125" s="117">
        <f t="shared" si="24"/>
        <v>150000000</v>
      </c>
      <c r="G125" s="117">
        <v>12500000</v>
      </c>
      <c r="H125" s="117">
        <v>12500000</v>
      </c>
      <c r="I125" s="117">
        <v>12500000</v>
      </c>
      <c r="J125" s="117">
        <v>12500000</v>
      </c>
      <c r="K125" s="117">
        <v>12500000</v>
      </c>
      <c r="L125" s="117">
        <v>12500000</v>
      </c>
      <c r="M125" s="117">
        <v>12500000</v>
      </c>
      <c r="N125" s="117">
        <v>12500000</v>
      </c>
      <c r="O125" s="117">
        <v>12500000</v>
      </c>
      <c r="P125" s="117">
        <v>12500000</v>
      </c>
      <c r="Q125" s="117">
        <v>12500000</v>
      </c>
      <c r="R125" s="117">
        <v>12500000</v>
      </c>
    </row>
    <row r="126" spans="1:18" outlineLevel="1" x14ac:dyDescent="0.3">
      <c r="A126" s="34" t="s">
        <v>215</v>
      </c>
      <c r="B126" s="108" t="s">
        <v>7</v>
      </c>
      <c r="C126" s="108" t="s">
        <v>27</v>
      </c>
      <c r="D126" s="109">
        <v>5113210</v>
      </c>
      <c r="E126" s="109" t="s">
        <v>202</v>
      </c>
      <c r="F126" s="110">
        <f t="shared" si="24"/>
        <v>0</v>
      </c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</row>
    <row r="127" spans="1:18" outlineLevel="1" x14ac:dyDescent="0.3">
      <c r="A127" s="34" t="s">
        <v>216</v>
      </c>
      <c r="B127" s="115" t="s">
        <v>217</v>
      </c>
      <c r="C127" s="115" t="s">
        <v>27</v>
      </c>
      <c r="D127" s="109">
        <v>5113160</v>
      </c>
      <c r="E127" s="109" t="s">
        <v>208</v>
      </c>
      <c r="F127" s="110">
        <f t="shared" si="24"/>
        <v>0</v>
      </c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</row>
    <row r="128" spans="1:18" x14ac:dyDescent="0.3">
      <c r="A128" s="26" t="s">
        <v>218</v>
      </c>
      <c r="B128" s="112" t="s">
        <v>7</v>
      </c>
      <c r="C128" s="112"/>
      <c r="D128" s="113"/>
      <c r="E128" s="113"/>
      <c r="F128" s="114">
        <f t="shared" ref="F128:R128" si="25">F129</f>
        <v>0</v>
      </c>
      <c r="G128" s="114">
        <f t="shared" si="25"/>
        <v>0</v>
      </c>
      <c r="H128" s="114">
        <f t="shared" si="25"/>
        <v>0</v>
      </c>
      <c r="I128" s="114">
        <f t="shared" si="25"/>
        <v>0</v>
      </c>
      <c r="J128" s="114">
        <f t="shared" si="25"/>
        <v>0</v>
      </c>
      <c r="K128" s="114">
        <f t="shared" si="25"/>
        <v>0</v>
      </c>
      <c r="L128" s="114">
        <f t="shared" si="25"/>
        <v>0</v>
      </c>
      <c r="M128" s="114">
        <f t="shared" si="25"/>
        <v>0</v>
      </c>
      <c r="N128" s="114">
        <f t="shared" si="25"/>
        <v>0</v>
      </c>
      <c r="O128" s="114">
        <f t="shared" si="25"/>
        <v>0</v>
      </c>
      <c r="P128" s="114">
        <f t="shared" si="25"/>
        <v>0</v>
      </c>
      <c r="Q128" s="114">
        <f t="shared" si="25"/>
        <v>0</v>
      </c>
      <c r="R128" s="114">
        <f t="shared" si="25"/>
        <v>0</v>
      </c>
    </row>
    <row r="129" spans="1:18" outlineLevel="1" x14ac:dyDescent="0.3">
      <c r="A129" s="34" t="s">
        <v>219</v>
      </c>
      <c r="B129" s="108" t="s">
        <v>220</v>
      </c>
      <c r="C129" s="108" t="s">
        <v>15</v>
      </c>
      <c r="D129" s="109">
        <v>5115110</v>
      </c>
      <c r="E129" s="109" t="s">
        <v>221</v>
      </c>
      <c r="F129" s="110">
        <f>SUM(G129:R129)</f>
        <v>0</v>
      </c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</row>
    <row r="130" spans="1:18" x14ac:dyDescent="0.3">
      <c r="A130" s="26" t="s">
        <v>222</v>
      </c>
      <c r="B130" s="112" t="s">
        <v>7</v>
      </c>
      <c r="C130" s="112"/>
      <c r="D130" s="113"/>
      <c r="E130" s="113"/>
      <c r="F130" s="114">
        <f t="shared" ref="F130:R130" si="26">SUM(F131:F137)</f>
        <v>0</v>
      </c>
      <c r="G130" s="114">
        <f t="shared" si="26"/>
        <v>0</v>
      </c>
      <c r="H130" s="114">
        <f t="shared" si="26"/>
        <v>0</v>
      </c>
      <c r="I130" s="114">
        <f t="shared" si="26"/>
        <v>0</v>
      </c>
      <c r="J130" s="114">
        <f t="shared" si="26"/>
        <v>0</v>
      </c>
      <c r="K130" s="114">
        <f t="shared" si="26"/>
        <v>0</v>
      </c>
      <c r="L130" s="114">
        <f t="shared" si="26"/>
        <v>0</v>
      </c>
      <c r="M130" s="114">
        <f t="shared" si="26"/>
        <v>0</v>
      </c>
      <c r="N130" s="114">
        <f t="shared" si="26"/>
        <v>0</v>
      </c>
      <c r="O130" s="114">
        <f t="shared" si="26"/>
        <v>0</v>
      </c>
      <c r="P130" s="114">
        <f t="shared" si="26"/>
        <v>0</v>
      </c>
      <c r="Q130" s="114">
        <f t="shared" si="26"/>
        <v>0</v>
      </c>
      <c r="R130" s="114">
        <f t="shared" si="26"/>
        <v>0</v>
      </c>
    </row>
    <row r="131" spans="1:18" outlineLevel="1" x14ac:dyDescent="0.3">
      <c r="A131" s="34" t="s">
        <v>223</v>
      </c>
      <c r="B131" s="108" t="s">
        <v>224</v>
      </c>
      <c r="C131" s="108" t="s">
        <v>15</v>
      </c>
      <c r="D131" s="109">
        <v>5116110</v>
      </c>
      <c r="E131" s="109" t="s">
        <v>225</v>
      </c>
      <c r="F131" s="110">
        <f t="shared" ref="F131:F137" si="27">SUM(G131:R131)</f>
        <v>0</v>
      </c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</row>
    <row r="132" spans="1:18" outlineLevel="1" x14ac:dyDescent="0.3">
      <c r="A132" s="34" t="s">
        <v>226</v>
      </c>
      <c r="B132" s="108" t="s">
        <v>224</v>
      </c>
      <c r="C132" s="108" t="s">
        <v>15</v>
      </c>
      <c r="D132" s="109">
        <v>5116120</v>
      </c>
      <c r="E132" s="109" t="s">
        <v>225</v>
      </c>
      <c r="F132" s="110">
        <f t="shared" si="27"/>
        <v>0</v>
      </c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</row>
    <row r="133" spans="1:18" outlineLevel="1" x14ac:dyDescent="0.3">
      <c r="A133" s="34" t="s">
        <v>227</v>
      </c>
      <c r="B133" s="108" t="s">
        <v>228</v>
      </c>
      <c r="C133" s="108" t="s">
        <v>15</v>
      </c>
      <c r="D133" s="109">
        <v>5116130</v>
      </c>
      <c r="E133" s="109" t="s">
        <v>229</v>
      </c>
      <c r="F133" s="110">
        <f t="shared" si="27"/>
        <v>0</v>
      </c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</row>
    <row r="134" spans="1:18" outlineLevel="1" x14ac:dyDescent="0.3">
      <c r="A134" s="34" t="s">
        <v>230</v>
      </c>
      <c r="B134" s="108" t="s">
        <v>224</v>
      </c>
      <c r="C134" s="108" t="s">
        <v>15</v>
      </c>
      <c r="D134" s="109">
        <v>5116140</v>
      </c>
      <c r="E134" s="109" t="s">
        <v>225</v>
      </c>
      <c r="F134" s="110">
        <f t="shared" si="27"/>
        <v>0</v>
      </c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</row>
    <row r="135" spans="1:18" outlineLevel="1" x14ac:dyDescent="0.3">
      <c r="A135" s="34" t="s">
        <v>231</v>
      </c>
      <c r="B135" s="108" t="s">
        <v>228</v>
      </c>
      <c r="C135" s="108" t="s">
        <v>15</v>
      </c>
      <c r="D135" s="109">
        <v>5116150</v>
      </c>
      <c r="E135" s="109" t="s">
        <v>229</v>
      </c>
      <c r="F135" s="110">
        <f t="shared" si="27"/>
        <v>0</v>
      </c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</row>
    <row r="136" spans="1:18" outlineLevel="1" x14ac:dyDescent="0.3">
      <c r="A136" s="34" t="s">
        <v>232</v>
      </c>
      <c r="B136" s="108" t="s">
        <v>224</v>
      </c>
      <c r="C136" s="108" t="s">
        <v>15</v>
      </c>
      <c r="D136" s="109">
        <v>5116160</v>
      </c>
      <c r="E136" s="109" t="s">
        <v>225</v>
      </c>
      <c r="F136" s="110">
        <f t="shared" si="27"/>
        <v>0</v>
      </c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</row>
    <row r="137" spans="1:18" outlineLevel="1" x14ac:dyDescent="0.3">
      <c r="A137" s="34" t="s">
        <v>233</v>
      </c>
      <c r="B137" s="108" t="s">
        <v>224</v>
      </c>
      <c r="C137" s="108" t="s">
        <v>15</v>
      </c>
      <c r="D137" s="109">
        <v>5116111</v>
      </c>
      <c r="E137" s="109" t="s">
        <v>225</v>
      </c>
      <c r="F137" s="110">
        <f t="shared" si="27"/>
        <v>0</v>
      </c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</row>
    <row r="138" spans="1:18" x14ac:dyDescent="0.3">
      <c r="A138" s="26" t="s">
        <v>234</v>
      </c>
      <c r="B138" s="112" t="s">
        <v>7</v>
      </c>
      <c r="C138" s="112"/>
      <c r="D138" s="113"/>
      <c r="E138" s="113"/>
      <c r="F138" s="114">
        <f t="shared" ref="F138:R138" si="28">F139</f>
        <v>0</v>
      </c>
      <c r="G138" s="114">
        <f t="shared" si="28"/>
        <v>0</v>
      </c>
      <c r="H138" s="114">
        <f t="shared" si="28"/>
        <v>0</v>
      </c>
      <c r="I138" s="114">
        <f t="shared" si="28"/>
        <v>0</v>
      </c>
      <c r="J138" s="114">
        <f t="shared" si="28"/>
        <v>0</v>
      </c>
      <c r="K138" s="114">
        <f t="shared" si="28"/>
        <v>0</v>
      </c>
      <c r="L138" s="114">
        <f t="shared" si="28"/>
        <v>0</v>
      </c>
      <c r="M138" s="114">
        <f t="shared" si="28"/>
        <v>0</v>
      </c>
      <c r="N138" s="114">
        <f t="shared" si="28"/>
        <v>0</v>
      </c>
      <c r="O138" s="114">
        <f t="shared" si="28"/>
        <v>0</v>
      </c>
      <c r="P138" s="114">
        <f t="shared" si="28"/>
        <v>0</v>
      </c>
      <c r="Q138" s="114">
        <f t="shared" si="28"/>
        <v>0</v>
      </c>
      <c r="R138" s="114">
        <f t="shared" si="28"/>
        <v>0</v>
      </c>
    </row>
    <row r="139" spans="1:18" outlineLevel="1" x14ac:dyDescent="0.3">
      <c r="A139" s="34" t="s">
        <v>235</v>
      </c>
      <c r="B139" s="108" t="s">
        <v>236</v>
      </c>
      <c r="C139" s="108" t="s">
        <v>15</v>
      </c>
      <c r="D139" s="109">
        <v>5117110</v>
      </c>
      <c r="E139" s="109" t="s">
        <v>237</v>
      </c>
      <c r="F139" s="110">
        <f>SUM(G139:R139)</f>
        <v>0</v>
      </c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</row>
    <row r="140" spans="1:18" x14ac:dyDescent="0.3">
      <c r="A140" s="26" t="s">
        <v>238</v>
      </c>
      <c r="B140" s="112" t="s">
        <v>7</v>
      </c>
      <c r="C140" s="112"/>
      <c r="D140" s="113"/>
      <c r="E140" s="113"/>
      <c r="F140" s="114">
        <f t="shared" ref="F140:R140" si="29">SUM(F141:F145)</f>
        <v>1800000</v>
      </c>
      <c r="G140" s="114">
        <f t="shared" si="29"/>
        <v>150000</v>
      </c>
      <c r="H140" s="114">
        <f t="shared" si="29"/>
        <v>150000</v>
      </c>
      <c r="I140" s="114">
        <f t="shared" si="29"/>
        <v>150000</v>
      </c>
      <c r="J140" s="114">
        <f t="shared" si="29"/>
        <v>150000</v>
      </c>
      <c r="K140" s="114">
        <f t="shared" si="29"/>
        <v>150000</v>
      </c>
      <c r="L140" s="114">
        <f t="shared" si="29"/>
        <v>150000</v>
      </c>
      <c r="M140" s="114">
        <f t="shared" si="29"/>
        <v>150000</v>
      </c>
      <c r="N140" s="114">
        <f t="shared" si="29"/>
        <v>150000</v>
      </c>
      <c r="O140" s="114">
        <f t="shared" si="29"/>
        <v>150000</v>
      </c>
      <c r="P140" s="114">
        <f t="shared" si="29"/>
        <v>150000</v>
      </c>
      <c r="Q140" s="114">
        <f t="shared" si="29"/>
        <v>150000</v>
      </c>
      <c r="R140" s="114">
        <f t="shared" si="29"/>
        <v>150000</v>
      </c>
    </row>
    <row r="141" spans="1:18" outlineLevel="1" x14ac:dyDescent="0.3">
      <c r="A141" s="34" t="s">
        <v>239</v>
      </c>
      <c r="B141" s="108" t="s">
        <v>240</v>
      </c>
      <c r="C141" s="108" t="s">
        <v>15</v>
      </c>
      <c r="D141" s="109">
        <v>5118110</v>
      </c>
      <c r="E141" s="109" t="s">
        <v>241</v>
      </c>
      <c r="F141" s="110">
        <f>SUM(G141:R141)</f>
        <v>0</v>
      </c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</row>
    <row r="142" spans="1:18" outlineLevel="1" x14ac:dyDescent="0.3">
      <c r="A142" s="34" t="s">
        <v>242</v>
      </c>
      <c r="B142" s="108" t="s">
        <v>243</v>
      </c>
      <c r="C142" s="108" t="s">
        <v>15</v>
      </c>
      <c r="D142" s="109">
        <v>5118120</v>
      </c>
      <c r="E142" s="109" t="s">
        <v>244</v>
      </c>
      <c r="F142" s="110">
        <f>SUM(G142:R142)</f>
        <v>0</v>
      </c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</row>
    <row r="143" spans="1:18" s="118" customFormat="1" outlineLevel="1" x14ac:dyDescent="0.3">
      <c r="A143" s="54" t="s">
        <v>245</v>
      </c>
      <c r="B143" s="115" t="s">
        <v>246</v>
      </c>
      <c r="C143" s="115" t="s">
        <v>15</v>
      </c>
      <c r="D143" s="116">
        <v>5118130</v>
      </c>
      <c r="E143" s="116" t="s">
        <v>247</v>
      </c>
      <c r="F143" s="117">
        <f>SUM(G143:R143)</f>
        <v>1800000</v>
      </c>
      <c r="G143" s="117">
        <v>150000</v>
      </c>
      <c r="H143" s="117">
        <v>150000</v>
      </c>
      <c r="I143" s="117">
        <v>150000</v>
      </c>
      <c r="J143" s="117">
        <v>150000</v>
      </c>
      <c r="K143" s="117">
        <v>150000</v>
      </c>
      <c r="L143" s="117">
        <v>150000</v>
      </c>
      <c r="M143" s="117">
        <v>150000</v>
      </c>
      <c r="N143" s="117">
        <v>150000</v>
      </c>
      <c r="O143" s="117">
        <v>150000</v>
      </c>
      <c r="P143" s="117">
        <v>150000</v>
      </c>
      <c r="Q143" s="117">
        <v>150000</v>
      </c>
      <c r="R143" s="117">
        <v>150000</v>
      </c>
    </row>
    <row r="144" spans="1:18" outlineLevel="1" x14ac:dyDescent="0.3">
      <c r="A144" s="34" t="s">
        <v>248</v>
      </c>
      <c r="B144" s="108" t="s">
        <v>7</v>
      </c>
      <c r="C144" s="108" t="s">
        <v>15</v>
      </c>
      <c r="D144" s="109">
        <v>5118140</v>
      </c>
      <c r="E144" s="109" t="s">
        <v>249</v>
      </c>
      <c r="F144" s="110">
        <f>SUM(G144:R144)</f>
        <v>0</v>
      </c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</row>
    <row r="145" spans="1:18" outlineLevel="1" x14ac:dyDescent="0.3">
      <c r="A145" s="34" t="s">
        <v>250</v>
      </c>
      <c r="B145" s="108" t="s">
        <v>7</v>
      </c>
      <c r="C145" s="108" t="s">
        <v>15</v>
      </c>
      <c r="D145" s="109">
        <v>5118150</v>
      </c>
      <c r="E145" s="109" t="s">
        <v>251</v>
      </c>
      <c r="F145" s="110">
        <f>SUM(G145:R145)</f>
        <v>0</v>
      </c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</row>
    <row r="146" spans="1:18" x14ac:dyDescent="0.3">
      <c r="A146" s="26" t="s">
        <v>252</v>
      </c>
      <c r="B146" s="112" t="s">
        <v>7</v>
      </c>
      <c r="C146" s="112"/>
      <c r="D146" s="113"/>
      <c r="E146" s="113"/>
      <c r="F146" s="114">
        <f t="shared" ref="F146:R146" si="30">SUM(F147:F148)</f>
        <v>0</v>
      </c>
      <c r="G146" s="114">
        <f t="shared" si="30"/>
        <v>0</v>
      </c>
      <c r="H146" s="114">
        <f t="shared" si="30"/>
        <v>0</v>
      </c>
      <c r="I146" s="114">
        <f t="shared" si="30"/>
        <v>0</v>
      </c>
      <c r="J146" s="114">
        <f t="shared" si="30"/>
        <v>0</v>
      </c>
      <c r="K146" s="114">
        <f t="shared" si="30"/>
        <v>0</v>
      </c>
      <c r="L146" s="114">
        <f t="shared" si="30"/>
        <v>0</v>
      </c>
      <c r="M146" s="114">
        <f t="shared" si="30"/>
        <v>0</v>
      </c>
      <c r="N146" s="114">
        <f t="shared" si="30"/>
        <v>0</v>
      </c>
      <c r="O146" s="114">
        <f t="shared" si="30"/>
        <v>0</v>
      </c>
      <c r="P146" s="114">
        <f t="shared" si="30"/>
        <v>0</v>
      </c>
      <c r="Q146" s="114">
        <f t="shared" si="30"/>
        <v>0</v>
      </c>
      <c r="R146" s="114">
        <f t="shared" si="30"/>
        <v>0</v>
      </c>
    </row>
    <row r="147" spans="1:18" outlineLevel="1" x14ac:dyDescent="0.3">
      <c r="A147" s="34" t="s">
        <v>253</v>
      </c>
      <c r="B147" s="108" t="s">
        <v>254</v>
      </c>
      <c r="C147" s="108" t="s">
        <v>15</v>
      </c>
      <c r="D147" s="109">
        <v>5130110</v>
      </c>
      <c r="E147" s="109" t="s">
        <v>249</v>
      </c>
      <c r="F147" s="110">
        <f>SUM(G147:R147)</f>
        <v>0</v>
      </c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</row>
    <row r="148" spans="1:18" outlineLevel="1" x14ac:dyDescent="0.3">
      <c r="A148" s="34" t="s">
        <v>255</v>
      </c>
      <c r="B148" s="108" t="s">
        <v>256</v>
      </c>
      <c r="C148" s="108" t="s">
        <v>15</v>
      </c>
      <c r="D148" s="109">
        <v>5130120</v>
      </c>
      <c r="E148" s="109" t="s">
        <v>251</v>
      </c>
      <c r="F148" s="110">
        <f>SUM(G148:R148)</f>
        <v>0</v>
      </c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</row>
    <row r="149" spans="1:18" x14ac:dyDescent="0.3">
      <c r="A149" s="26" t="s">
        <v>257</v>
      </c>
      <c r="B149" s="112" t="s">
        <v>7</v>
      </c>
      <c r="C149" s="112"/>
      <c r="D149" s="113"/>
      <c r="E149" s="113"/>
      <c r="F149" s="114">
        <f t="shared" ref="F149:R149" si="31">SUM(F150:F157)</f>
        <v>3600000</v>
      </c>
      <c r="G149" s="114">
        <f t="shared" si="31"/>
        <v>300000</v>
      </c>
      <c r="H149" s="114">
        <f t="shared" si="31"/>
        <v>300000</v>
      </c>
      <c r="I149" s="114">
        <f t="shared" si="31"/>
        <v>300000</v>
      </c>
      <c r="J149" s="114">
        <f t="shared" si="31"/>
        <v>300000</v>
      </c>
      <c r="K149" s="114">
        <f t="shared" si="31"/>
        <v>300000</v>
      </c>
      <c r="L149" s="114">
        <f t="shared" si="31"/>
        <v>300000</v>
      </c>
      <c r="M149" s="114">
        <f t="shared" si="31"/>
        <v>300000</v>
      </c>
      <c r="N149" s="114">
        <f t="shared" si="31"/>
        <v>300000</v>
      </c>
      <c r="O149" s="114">
        <f t="shared" si="31"/>
        <v>300000</v>
      </c>
      <c r="P149" s="114">
        <f t="shared" si="31"/>
        <v>300000</v>
      </c>
      <c r="Q149" s="114">
        <f t="shared" si="31"/>
        <v>300000</v>
      </c>
      <c r="R149" s="114">
        <f t="shared" si="31"/>
        <v>300000</v>
      </c>
    </row>
    <row r="150" spans="1:18" outlineLevel="1" x14ac:dyDescent="0.3">
      <c r="A150" s="34" t="s">
        <v>258</v>
      </c>
      <c r="B150" s="108" t="s">
        <v>259</v>
      </c>
      <c r="C150" s="108" t="s">
        <v>15</v>
      </c>
      <c r="D150" s="109">
        <v>5119110</v>
      </c>
      <c r="E150" s="109" t="s">
        <v>260</v>
      </c>
      <c r="F150" s="110">
        <f t="shared" ref="F150:F157" si="32">SUM(G150:R150)</f>
        <v>0</v>
      </c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</row>
    <row r="151" spans="1:18" outlineLevel="1" x14ac:dyDescent="0.3">
      <c r="A151" s="34" t="s">
        <v>261</v>
      </c>
      <c r="B151" s="108" t="s">
        <v>262</v>
      </c>
      <c r="C151" s="108" t="s">
        <v>15</v>
      </c>
      <c r="D151" s="109">
        <v>5119120</v>
      </c>
      <c r="E151" s="109" t="s">
        <v>263</v>
      </c>
      <c r="F151" s="110">
        <f t="shared" si="32"/>
        <v>0</v>
      </c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</row>
    <row r="152" spans="1:18" outlineLevel="1" x14ac:dyDescent="0.3">
      <c r="A152" s="34" t="s">
        <v>264</v>
      </c>
      <c r="B152" s="108" t="s">
        <v>265</v>
      </c>
      <c r="C152" s="108" t="s">
        <v>15</v>
      </c>
      <c r="D152" s="109">
        <v>5119130</v>
      </c>
      <c r="E152" s="109" t="s">
        <v>266</v>
      </c>
      <c r="F152" s="110">
        <f t="shared" si="32"/>
        <v>0</v>
      </c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</row>
    <row r="153" spans="1:18" outlineLevel="1" x14ac:dyDescent="0.3">
      <c r="A153" s="34" t="s">
        <v>267</v>
      </c>
      <c r="B153" s="108" t="s">
        <v>268</v>
      </c>
      <c r="C153" s="108" t="s">
        <v>15</v>
      </c>
      <c r="D153" s="109">
        <v>5119140</v>
      </c>
      <c r="E153" s="109" t="s">
        <v>269</v>
      </c>
      <c r="F153" s="110">
        <f t="shared" si="32"/>
        <v>0</v>
      </c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</row>
    <row r="154" spans="1:18" s="118" customFormat="1" outlineLevel="1" x14ac:dyDescent="0.3">
      <c r="A154" s="54" t="s">
        <v>270</v>
      </c>
      <c r="B154" s="115" t="s">
        <v>271</v>
      </c>
      <c r="C154" s="115" t="s">
        <v>15</v>
      </c>
      <c r="D154" s="116">
        <v>5119150</v>
      </c>
      <c r="E154" s="116" t="s">
        <v>272</v>
      </c>
      <c r="F154" s="117">
        <f t="shared" si="32"/>
        <v>3600000</v>
      </c>
      <c r="G154" s="117">
        <v>300000</v>
      </c>
      <c r="H154" s="117">
        <v>300000</v>
      </c>
      <c r="I154" s="117">
        <v>300000</v>
      </c>
      <c r="J154" s="117">
        <v>300000</v>
      </c>
      <c r="K154" s="117">
        <v>300000</v>
      </c>
      <c r="L154" s="117">
        <v>300000</v>
      </c>
      <c r="M154" s="117">
        <v>300000</v>
      </c>
      <c r="N154" s="117">
        <v>300000</v>
      </c>
      <c r="O154" s="117">
        <v>300000</v>
      </c>
      <c r="P154" s="117">
        <v>300000</v>
      </c>
      <c r="Q154" s="117">
        <v>300000</v>
      </c>
      <c r="R154" s="117">
        <v>300000</v>
      </c>
    </row>
    <row r="155" spans="1:18" outlineLevel="1" x14ac:dyDescent="0.3">
      <c r="A155" s="34" t="s">
        <v>273</v>
      </c>
      <c r="B155" s="108" t="s">
        <v>274</v>
      </c>
      <c r="C155" s="108" t="s">
        <v>15</v>
      </c>
      <c r="D155" s="109">
        <v>5119160</v>
      </c>
      <c r="E155" s="109" t="s">
        <v>275</v>
      </c>
      <c r="F155" s="110">
        <f t="shared" si="32"/>
        <v>0</v>
      </c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</row>
    <row r="156" spans="1:18" outlineLevel="1" x14ac:dyDescent="0.3">
      <c r="A156" s="34" t="s">
        <v>276</v>
      </c>
      <c r="B156" s="108" t="s">
        <v>276</v>
      </c>
      <c r="C156" s="108" t="s">
        <v>15</v>
      </c>
      <c r="D156" s="109">
        <v>5119121</v>
      </c>
      <c r="E156" s="109" t="s">
        <v>277</v>
      </c>
      <c r="F156" s="110">
        <f t="shared" si="32"/>
        <v>0</v>
      </c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</row>
    <row r="157" spans="1:18" outlineLevel="1" x14ac:dyDescent="0.3">
      <c r="A157" s="34" t="s">
        <v>278</v>
      </c>
      <c r="B157" s="115" t="s">
        <v>279</v>
      </c>
      <c r="C157" s="115" t="s">
        <v>15</v>
      </c>
      <c r="D157" s="109">
        <v>5119151</v>
      </c>
      <c r="E157" s="109" t="s">
        <v>272</v>
      </c>
      <c r="F157" s="110">
        <f t="shared" si="32"/>
        <v>0</v>
      </c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1:18" x14ac:dyDescent="0.3">
      <c r="A158" s="26" t="s">
        <v>280</v>
      </c>
      <c r="B158" s="112" t="s">
        <v>7</v>
      </c>
      <c r="C158" s="112"/>
      <c r="D158" s="113"/>
      <c r="E158" s="113"/>
      <c r="F158" s="114">
        <f t="shared" ref="F158:R158" si="33">SUM(F159:F162)</f>
        <v>6000000</v>
      </c>
      <c r="G158" s="114">
        <f t="shared" si="33"/>
        <v>500000</v>
      </c>
      <c r="H158" s="114">
        <f t="shared" si="33"/>
        <v>500000</v>
      </c>
      <c r="I158" s="114">
        <f t="shared" si="33"/>
        <v>500000</v>
      </c>
      <c r="J158" s="114">
        <f t="shared" si="33"/>
        <v>500000</v>
      </c>
      <c r="K158" s="114">
        <f t="shared" si="33"/>
        <v>500000</v>
      </c>
      <c r="L158" s="114">
        <f t="shared" si="33"/>
        <v>500000</v>
      </c>
      <c r="M158" s="114">
        <f t="shared" si="33"/>
        <v>500000</v>
      </c>
      <c r="N158" s="114">
        <f t="shared" si="33"/>
        <v>500000</v>
      </c>
      <c r="O158" s="114">
        <f t="shared" si="33"/>
        <v>500000</v>
      </c>
      <c r="P158" s="114">
        <f t="shared" si="33"/>
        <v>500000</v>
      </c>
      <c r="Q158" s="114">
        <f t="shared" si="33"/>
        <v>500000</v>
      </c>
      <c r="R158" s="114">
        <f t="shared" si="33"/>
        <v>500000</v>
      </c>
    </row>
    <row r="159" spans="1:18" outlineLevel="1" x14ac:dyDescent="0.3">
      <c r="A159" s="34" t="s">
        <v>281</v>
      </c>
      <c r="B159" s="108" t="s">
        <v>282</v>
      </c>
      <c r="C159" s="108" t="s">
        <v>27</v>
      </c>
      <c r="D159" s="109">
        <v>5120110</v>
      </c>
      <c r="E159" s="109" t="s">
        <v>283</v>
      </c>
      <c r="F159" s="110">
        <f>SUM(G159:R159)</f>
        <v>0</v>
      </c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1:18" s="118" customFormat="1" outlineLevel="1" x14ac:dyDescent="0.3">
      <c r="A160" s="120" t="s">
        <v>284</v>
      </c>
      <c r="B160" s="115" t="s">
        <v>282</v>
      </c>
      <c r="C160" s="115" t="s">
        <v>27</v>
      </c>
      <c r="D160" s="116">
        <v>5120140</v>
      </c>
      <c r="E160" s="116" t="s">
        <v>283</v>
      </c>
      <c r="F160" s="117">
        <f>SUM(G160:R160)</f>
        <v>6000000</v>
      </c>
      <c r="G160" s="117">
        <v>500000</v>
      </c>
      <c r="H160" s="117">
        <v>500000</v>
      </c>
      <c r="I160" s="117">
        <v>500000</v>
      </c>
      <c r="J160" s="117">
        <v>500000</v>
      </c>
      <c r="K160" s="117">
        <v>500000</v>
      </c>
      <c r="L160" s="117">
        <v>500000</v>
      </c>
      <c r="M160" s="117">
        <v>500000</v>
      </c>
      <c r="N160" s="117">
        <v>500000</v>
      </c>
      <c r="O160" s="117">
        <v>500000</v>
      </c>
      <c r="P160" s="117">
        <v>500000</v>
      </c>
      <c r="Q160" s="117">
        <v>500000</v>
      </c>
      <c r="R160" s="117">
        <v>500000</v>
      </c>
    </row>
    <row r="161" spans="1:18" outlineLevel="1" x14ac:dyDescent="0.3">
      <c r="A161" s="40" t="s">
        <v>285</v>
      </c>
      <c r="B161" s="108" t="s">
        <v>282</v>
      </c>
      <c r="C161" s="108" t="s">
        <v>27</v>
      </c>
      <c r="D161" s="109">
        <v>5120130</v>
      </c>
      <c r="E161" s="109" t="s">
        <v>283</v>
      </c>
      <c r="F161" s="110">
        <f>SUM(G161:R161)</f>
        <v>0</v>
      </c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1:18" outlineLevel="1" x14ac:dyDescent="0.3">
      <c r="A162" s="34" t="s">
        <v>286</v>
      </c>
      <c r="B162" s="108" t="s">
        <v>282</v>
      </c>
      <c r="C162" s="108" t="s">
        <v>27</v>
      </c>
      <c r="D162" s="109">
        <v>5120120</v>
      </c>
      <c r="E162" s="109" t="s">
        <v>283</v>
      </c>
      <c r="F162" s="110">
        <f>SUM(G162:R162)</f>
        <v>0</v>
      </c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1:18" x14ac:dyDescent="0.3">
      <c r="A163" s="26" t="s">
        <v>287</v>
      </c>
      <c r="B163" s="112" t="s">
        <v>7</v>
      </c>
      <c r="C163" s="112"/>
      <c r="D163" s="113"/>
      <c r="E163" s="113"/>
      <c r="F163" s="114">
        <f t="shared" ref="F163:R163" si="34">SUM(F164:F167)</f>
        <v>12000000</v>
      </c>
      <c r="G163" s="114">
        <f t="shared" si="34"/>
        <v>1000000</v>
      </c>
      <c r="H163" s="114">
        <f t="shared" si="34"/>
        <v>1000000</v>
      </c>
      <c r="I163" s="114">
        <f t="shared" si="34"/>
        <v>1000000</v>
      </c>
      <c r="J163" s="114">
        <f t="shared" si="34"/>
        <v>1000000</v>
      </c>
      <c r="K163" s="114">
        <f t="shared" si="34"/>
        <v>1000000</v>
      </c>
      <c r="L163" s="114">
        <f t="shared" si="34"/>
        <v>1000000</v>
      </c>
      <c r="M163" s="114">
        <f t="shared" si="34"/>
        <v>1000000</v>
      </c>
      <c r="N163" s="114">
        <f t="shared" si="34"/>
        <v>1000000</v>
      </c>
      <c r="O163" s="114">
        <f t="shared" si="34"/>
        <v>1000000</v>
      </c>
      <c r="P163" s="114">
        <f t="shared" si="34"/>
        <v>1000000</v>
      </c>
      <c r="Q163" s="114">
        <f t="shared" si="34"/>
        <v>1000000</v>
      </c>
      <c r="R163" s="114">
        <f t="shared" si="34"/>
        <v>1000000</v>
      </c>
    </row>
    <row r="164" spans="1:18" outlineLevel="1" x14ac:dyDescent="0.3">
      <c r="A164" s="34" t="s">
        <v>288</v>
      </c>
      <c r="B164" s="108" t="s">
        <v>288</v>
      </c>
      <c r="C164" s="108" t="s">
        <v>15</v>
      </c>
      <c r="D164" s="109">
        <v>5121110</v>
      </c>
      <c r="E164" s="109" t="s">
        <v>289</v>
      </c>
      <c r="F164" s="110">
        <f>SUM(G164:R164)</f>
        <v>0</v>
      </c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1:18" outlineLevel="1" x14ac:dyDescent="0.3">
      <c r="A165" s="34" t="s">
        <v>290</v>
      </c>
      <c r="B165" s="108" t="s">
        <v>290</v>
      </c>
      <c r="C165" s="108" t="s">
        <v>15</v>
      </c>
      <c r="D165" s="109">
        <v>5121120</v>
      </c>
      <c r="E165" s="109" t="s">
        <v>291</v>
      </c>
      <c r="F165" s="110">
        <f>SUM(G165:R165)</f>
        <v>0</v>
      </c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1:18" outlineLevel="1" x14ac:dyDescent="0.3">
      <c r="A166" s="34" t="s">
        <v>292</v>
      </c>
      <c r="B166" s="108" t="s">
        <v>292</v>
      </c>
      <c r="C166" s="108" t="s">
        <v>27</v>
      </c>
      <c r="D166" s="109">
        <v>5121140</v>
      </c>
      <c r="E166" s="109" t="s">
        <v>293</v>
      </c>
      <c r="F166" s="110">
        <f>SUM(G166:R166)</f>
        <v>0</v>
      </c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1:18" s="118" customFormat="1" outlineLevel="1" x14ac:dyDescent="0.3">
      <c r="A167" s="54" t="s">
        <v>294</v>
      </c>
      <c r="B167" s="115" t="s">
        <v>295</v>
      </c>
      <c r="C167" s="115" t="s">
        <v>15</v>
      </c>
      <c r="D167" s="116">
        <v>5121150</v>
      </c>
      <c r="E167" s="116" t="s">
        <v>296</v>
      </c>
      <c r="F167" s="117">
        <f>SUM(G167:R167)</f>
        <v>12000000</v>
      </c>
      <c r="G167" s="117">
        <v>1000000</v>
      </c>
      <c r="H167" s="117">
        <v>1000000</v>
      </c>
      <c r="I167" s="117">
        <v>1000000</v>
      </c>
      <c r="J167" s="117">
        <v>1000000</v>
      </c>
      <c r="K167" s="117">
        <v>1000000</v>
      </c>
      <c r="L167" s="117">
        <v>1000000</v>
      </c>
      <c r="M167" s="117">
        <v>1000000</v>
      </c>
      <c r="N167" s="117">
        <v>1000000</v>
      </c>
      <c r="O167" s="117">
        <v>1000000</v>
      </c>
      <c r="P167" s="117">
        <v>1000000</v>
      </c>
      <c r="Q167" s="117">
        <v>1000000</v>
      </c>
      <c r="R167" s="117">
        <v>1000000</v>
      </c>
    </row>
    <row r="168" spans="1:18" x14ac:dyDescent="0.3">
      <c r="A168" s="26" t="s">
        <v>297</v>
      </c>
      <c r="B168" s="112" t="s">
        <v>7</v>
      </c>
      <c r="C168" s="112"/>
      <c r="D168" s="113"/>
      <c r="E168" s="113"/>
      <c r="F168" s="114">
        <f t="shared" ref="F168:R168" si="35">SUM(F169:F172)</f>
        <v>0</v>
      </c>
      <c r="G168" s="114">
        <f t="shared" si="35"/>
        <v>0</v>
      </c>
      <c r="H168" s="114">
        <f t="shared" si="35"/>
        <v>0</v>
      </c>
      <c r="I168" s="114">
        <f t="shared" si="35"/>
        <v>0</v>
      </c>
      <c r="J168" s="114">
        <f t="shared" si="35"/>
        <v>0</v>
      </c>
      <c r="K168" s="114">
        <f t="shared" si="35"/>
        <v>0</v>
      </c>
      <c r="L168" s="114">
        <f t="shared" si="35"/>
        <v>0</v>
      </c>
      <c r="M168" s="114">
        <f t="shared" si="35"/>
        <v>0</v>
      </c>
      <c r="N168" s="114">
        <f t="shared" si="35"/>
        <v>0</v>
      </c>
      <c r="O168" s="114">
        <f t="shared" si="35"/>
        <v>0</v>
      </c>
      <c r="P168" s="114">
        <f t="shared" si="35"/>
        <v>0</v>
      </c>
      <c r="Q168" s="114">
        <f t="shared" si="35"/>
        <v>0</v>
      </c>
      <c r="R168" s="114">
        <f t="shared" si="35"/>
        <v>0</v>
      </c>
    </row>
    <row r="169" spans="1:18" outlineLevel="1" x14ac:dyDescent="0.3">
      <c r="A169" s="34" t="s">
        <v>298</v>
      </c>
      <c r="B169" s="108" t="s">
        <v>299</v>
      </c>
      <c r="C169" s="108" t="s">
        <v>27</v>
      </c>
      <c r="D169" s="109">
        <v>5122110</v>
      </c>
      <c r="E169" s="109" t="s">
        <v>300</v>
      </c>
      <c r="F169" s="110">
        <f>SUM(G169:R169)</f>
        <v>0</v>
      </c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</row>
    <row r="170" spans="1:18" outlineLevel="1" x14ac:dyDescent="0.3">
      <c r="A170" s="34" t="s">
        <v>301</v>
      </c>
      <c r="B170" s="108" t="s">
        <v>302</v>
      </c>
      <c r="C170" s="108" t="s">
        <v>15</v>
      </c>
      <c r="D170" s="109">
        <v>5122120</v>
      </c>
      <c r="E170" s="109" t="s">
        <v>303</v>
      </c>
      <c r="F170" s="110">
        <f>SUM(G170:R170)</f>
        <v>0</v>
      </c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</row>
    <row r="171" spans="1:18" outlineLevel="1" x14ac:dyDescent="0.3">
      <c r="A171" s="40" t="s">
        <v>304</v>
      </c>
      <c r="B171" s="108" t="s">
        <v>305</v>
      </c>
      <c r="C171" s="108" t="s">
        <v>15</v>
      </c>
      <c r="D171" s="109">
        <v>5122130</v>
      </c>
      <c r="E171" s="109" t="s">
        <v>306</v>
      </c>
      <c r="F171" s="110">
        <f>SUM(G171:R171)</f>
        <v>0</v>
      </c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</row>
    <row r="172" spans="1:18" outlineLevel="1" x14ac:dyDescent="0.3">
      <c r="A172" s="34" t="s">
        <v>307</v>
      </c>
      <c r="B172" s="108" t="s">
        <v>308</v>
      </c>
      <c r="C172" s="108" t="s">
        <v>15</v>
      </c>
      <c r="D172" s="109">
        <v>5122140</v>
      </c>
      <c r="E172" s="109" t="s">
        <v>309</v>
      </c>
      <c r="F172" s="110">
        <f>SUM(G172:R172)</f>
        <v>0</v>
      </c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</row>
    <row r="173" spans="1:18" x14ac:dyDescent="0.3">
      <c r="A173" s="26" t="s">
        <v>310</v>
      </c>
      <c r="B173" s="112" t="s">
        <v>7</v>
      </c>
      <c r="C173" s="112"/>
      <c r="D173" s="113"/>
      <c r="E173" s="113"/>
      <c r="F173" s="114">
        <f t="shared" ref="F173:R173" si="36">SUM(F174:F176)</f>
        <v>0</v>
      </c>
      <c r="G173" s="114">
        <f t="shared" si="36"/>
        <v>0</v>
      </c>
      <c r="H173" s="114">
        <f t="shared" si="36"/>
        <v>0</v>
      </c>
      <c r="I173" s="114">
        <f t="shared" si="36"/>
        <v>0</v>
      </c>
      <c r="J173" s="114">
        <f t="shared" si="36"/>
        <v>0</v>
      </c>
      <c r="K173" s="114">
        <f t="shared" si="36"/>
        <v>0</v>
      </c>
      <c r="L173" s="114">
        <f t="shared" si="36"/>
        <v>0</v>
      </c>
      <c r="M173" s="114">
        <f t="shared" si="36"/>
        <v>0</v>
      </c>
      <c r="N173" s="114">
        <f t="shared" si="36"/>
        <v>0</v>
      </c>
      <c r="O173" s="114">
        <f t="shared" si="36"/>
        <v>0</v>
      </c>
      <c r="P173" s="114">
        <f t="shared" si="36"/>
        <v>0</v>
      </c>
      <c r="Q173" s="114">
        <f t="shared" si="36"/>
        <v>0</v>
      </c>
      <c r="R173" s="114">
        <f t="shared" si="36"/>
        <v>0</v>
      </c>
    </row>
    <row r="174" spans="1:18" outlineLevel="1" x14ac:dyDescent="0.3">
      <c r="A174" s="34" t="s">
        <v>311</v>
      </c>
      <c r="B174" s="108" t="s">
        <v>312</v>
      </c>
      <c r="C174" s="108" t="s">
        <v>15</v>
      </c>
      <c r="D174" s="109">
        <v>5123110</v>
      </c>
      <c r="E174" s="109" t="s">
        <v>313</v>
      </c>
      <c r="F174" s="110">
        <f>SUM(G174:R174)</f>
        <v>0</v>
      </c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</row>
    <row r="175" spans="1:18" outlineLevel="1" x14ac:dyDescent="0.3">
      <c r="A175" s="34" t="s">
        <v>314</v>
      </c>
      <c r="B175" s="108" t="s">
        <v>315</v>
      </c>
      <c r="C175" s="108" t="s">
        <v>15</v>
      </c>
      <c r="D175" s="109">
        <v>5123120</v>
      </c>
      <c r="E175" s="109" t="s">
        <v>316</v>
      </c>
      <c r="F175" s="110">
        <f>SUM(G175:R175)</f>
        <v>0</v>
      </c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</row>
    <row r="176" spans="1:18" outlineLevel="1" x14ac:dyDescent="0.3">
      <c r="A176" s="57" t="s">
        <v>317</v>
      </c>
      <c r="B176" s="121" t="s">
        <v>318</v>
      </c>
      <c r="C176" s="121" t="s">
        <v>15</v>
      </c>
      <c r="D176" s="122">
        <v>5123130</v>
      </c>
      <c r="E176" s="122" t="s">
        <v>319</v>
      </c>
      <c r="F176" s="123">
        <f>SUM(G176:R176)</f>
        <v>0</v>
      </c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F16E-7B08-430B-AAFF-DB310C889A16}">
  <sheetPr>
    <tabColor theme="4" tint="0.79998168889431442"/>
  </sheetPr>
  <dimension ref="A1:S176"/>
  <sheetViews>
    <sheetView zoomScale="85" zoomScaleNormal="85" workbookViewId="0">
      <pane xSplit="5" ySplit="4" topLeftCell="F20" activePane="bottomRight" state="frozen"/>
      <selection activeCell="A40" sqref="A40"/>
      <selection pane="topRight" activeCell="A40" sqref="A40"/>
      <selection pane="bottomLeft" activeCell="A40" sqref="A40"/>
      <selection pane="bottomRight" activeCell="G45" sqref="G45"/>
    </sheetView>
  </sheetViews>
  <sheetFormatPr defaultColWidth="9" defaultRowHeight="16.5" outlineLevelRow="1" outlineLevelCol="1" x14ac:dyDescent="0.3"/>
  <cols>
    <col min="1" max="1" width="41" style="101" customWidth="1"/>
    <col min="2" max="2" width="27.75" style="101" customWidth="1" outlineLevel="1"/>
    <col min="3" max="3" width="9.875" style="101" customWidth="1" outlineLevel="1"/>
    <col min="4" max="4" width="9.25" style="102" customWidth="1" outlineLevel="1"/>
    <col min="5" max="5" width="13.25" style="102" customWidth="1" outlineLevel="1"/>
    <col min="6" max="6" width="14.25" style="101" bestFit="1" customWidth="1"/>
    <col min="7" max="18" width="14.25" style="101" customWidth="1" outlineLevel="1"/>
    <col min="20" max="16384" width="9" style="101"/>
  </cols>
  <sheetData>
    <row r="1" spans="1:18" x14ac:dyDescent="0.3">
      <c r="A1" s="124" t="s">
        <v>335</v>
      </c>
    </row>
    <row r="2" spans="1:18" x14ac:dyDescent="0.3">
      <c r="A2" s="101" t="s">
        <v>0</v>
      </c>
    </row>
    <row r="3" spans="1:18" x14ac:dyDescent="0.3">
      <c r="A3" s="3" t="s">
        <v>336</v>
      </c>
    </row>
    <row r="4" spans="1:18" x14ac:dyDescent="0.3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12">
        <v>2026</v>
      </c>
      <c r="G4" s="12">
        <v>2026.01</v>
      </c>
      <c r="H4" s="12">
        <v>2026.02</v>
      </c>
      <c r="I4" s="12">
        <v>2026.03</v>
      </c>
      <c r="J4" s="12">
        <v>2026.04</v>
      </c>
      <c r="K4" s="12">
        <v>2026.05</v>
      </c>
      <c r="L4" s="12">
        <v>2026.06</v>
      </c>
      <c r="M4" s="12">
        <v>2026.07</v>
      </c>
      <c r="N4" s="12">
        <v>2026.08</v>
      </c>
      <c r="O4" s="12">
        <v>2026.09</v>
      </c>
      <c r="P4" s="68">
        <v>2026.1</v>
      </c>
      <c r="Q4" s="12">
        <v>2026.11</v>
      </c>
      <c r="R4" s="12">
        <v>2026.12</v>
      </c>
    </row>
    <row r="5" spans="1:18" x14ac:dyDescent="0.3">
      <c r="A5" s="13" t="s">
        <v>6</v>
      </c>
      <c r="B5" s="104" t="s">
        <v>7</v>
      </c>
      <c r="C5" s="104"/>
      <c r="D5" s="105"/>
      <c r="E5" s="105"/>
      <c r="F5" s="106"/>
      <c r="G5" s="106"/>
      <c r="H5" s="106"/>
      <c r="I5" s="106"/>
      <c r="J5" s="107"/>
      <c r="K5" s="107"/>
      <c r="L5" s="107"/>
      <c r="M5" s="107"/>
      <c r="N5" s="107"/>
      <c r="O5" s="107"/>
      <c r="P5" s="107"/>
      <c r="Q5" s="107"/>
      <c r="R5" s="107"/>
    </row>
    <row r="6" spans="1:18" x14ac:dyDescent="0.3">
      <c r="A6" s="18" t="s">
        <v>8</v>
      </c>
      <c r="B6" s="108" t="s">
        <v>7</v>
      </c>
      <c r="C6" s="108"/>
      <c r="D6" s="109"/>
      <c r="E6" s="109"/>
      <c r="F6" s="110"/>
      <c r="G6" s="110"/>
      <c r="H6" s="110"/>
      <c r="I6" s="110"/>
      <c r="J6" s="111"/>
      <c r="K6" s="111"/>
      <c r="L6" s="111"/>
      <c r="M6" s="111"/>
      <c r="N6" s="111"/>
      <c r="O6" s="111"/>
      <c r="P6" s="111"/>
      <c r="Q6" s="111"/>
      <c r="R6" s="111"/>
    </row>
    <row r="7" spans="1:18" x14ac:dyDescent="0.3">
      <c r="A7" s="13" t="s">
        <v>9</v>
      </c>
      <c r="B7" s="104" t="s">
        <v>7</v>
      </c>
      <c r="C7" s="104"/>
      <c r="D7" s="105"/>
      <c r="E7" s="105"/>
      <c r="F7" s="106"/>
      <c r="G7" s="106"/>
      <c r="H7" s="106"/>
      <c r="I7" s="106"/>
      <c r="J7" s="107"/>
      <c r="K7" s="107"/>
      <c r="L7" s="107"/>
      <c r="M7" s="107"/>
      <c r="N7" s="107"/>
      <c r="O7" s="107"/>
      <c r="P7" s="107"/>
      <c r="Q7" s="107"/>
      <c r="R7" s="107"/>
    </row>
    <row r="8" spans="1:18" x14ac:dyDescent="0.3">
      <c r="A8" s="18" t="s">
        <v>10</v>
      </c>
      <c r="B8" s="108" t="s">
        <v>7</v>
      </c>
      <c r="C8" s="108"/>
      <c r="D8" s="109"/>
      <c r="E8" s="109"/>
      <c r="F8" s="110"/>
      <c r="G8" s="110"/>
      <c r="H8" s="110"/>
      <c r="I8" s="110"/>
      <c r="J8" s="111"/>
      <c r="K8" s="111"/>
      <c r="L8" s="111"/>
      <c r="M8" s="111"/>
      <c r="N8" s="111"/>
      <c r="O8" s="111"/>
      <c r="P8" s="111"/>
      <c r="Q8" s="111"/>
      <c r="R8" s="111"/>
    </row>
    <row r="9" spans="1:18" x14ac:dyDescent="0.3">
      <c r="A9" s="13" t="s">
        <v>11</v>
      </c>
      <c r="B9" s="104" t="s">
        <v>7</v>
      </c>
      <c r="C9" s="104"/>
      <c r="D9" s="105"/>
      <c r="E9" s="105"/>
      <c r="F9" s="106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</row>
    <row r="10" spans="1:18" x14ac:dyDescent="0.3">
      <c r="A10" s="26" t="s">
        <v>12</v>
      </c>
      <c r="B10" s="112" t="s">
        <v>7</v>
      </c>
      <c r="C10" s="112"/>
      <c r="D10" s="113"/>
      <c r="E10" s="113"/>
      <c r="F10" s="114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</row>
    <row r="11" spans="1:18" outlineLevel="1" x14ac:dyDescent="0.3">
      <c r="A11" s="34" t="s">
        <v>13</v>
      </c>
      <c r="B11" s="108" t="s">
        <v>14</v>
      </c>
      <c r="C11" s="108" t="s">
        <v>15</v>
      </c>
      <c r="D11" s="109">
        <v>5102110</v>
      </c>
      <c r="E11" s="109" t="s">
        <v>16</v>
      </c>
      <c r="F11" s="110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</row>
    <row r="12" spans="1:18" outlineLevel="1" x14ac:dyDescent="0.3">
      <c r="A12" s="34" t="s">
        <v>17</v>
      </c>
      <c r="B12" s="108" t="s">
        <v>18</v>
      </c>
      <c r="C12" s="108" t="s">
        <v>15</v>
      </c>
      <c r="D12" s="109">
        <v>5102120</v>
      </c>
      <c r="E12" s="109" t="s">
        <v>19</v>
      </c>
      <c r="F12" s="110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</row>
    <row r="13" spans="1:18" x14ac:dyDescent="0.3">
      <c r="A13" s="26" t="s">
        <v>20</v>
      </c>
      <c r="B13" s="112" t="s">
        <v>7</v>
      </c>
      <c r="C13" s="112"/>
      <c r="D13" s="113" t="s">
        <v>21</v>
      </c>
      <c r="E13" s="113"/>
      <c r="F13" s="114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</row>
    <row r="14" spans="1:18" outlineLevel="1" x14ac:dyDescent="0.3">
      <c r="A14" s="40" t="s">
        <v>22</v>
      </c>
      <c r="B14" s="108" t="s">
        <v>14</v>
      </c>
      <c r="C14" s="108" t="s">
        <v>15</v>
      </c>
      <c r="D14" s="109">
        <v>5102210</v>
      </c>
      <c r="E14" s="109" t="s">
        <v>16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</row>
    <row r="15" spans="1:18" outlineLevel="1" x14ac:dyDescent="0.3">
      <c r="A15" s="34" t="s">
        <v>23</v>
      </c>
      <c r="B15" s="108" t="s">
        <v>18</v>
      </c>
      <c r="C15" s="108" t="s">
        <v>15</v>
      </c>
      <c r="D15" s="109">
        <v>5102220</v>
      </c>
      <c r="E15" s="109" t="s">
        <v>19</v>
      </c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outlineLevel="1" x14ac:dyDescent="0.3">
      <c r="A16" s="34" t="s">
        <v>24</v>
      </c>
      <c r="B16" s="108" t="s">
        <v>14</v>
      </c>
      <c r="C16" s="108" t="s">
        <v>15</v>
      </c>
      <c r="D16" s="109">
        <v>5102230</v>
      </c>
      <c r="E16" s="109" t="s">
        <v>16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</row>
    <row r="17" spans="1:18" outlineLevel="1" x14ac:dyDescent="0.3">
      <c r="A17" s="34" t="s">
        <v>25</v>
      </c>
      <c r="B17" s="108" t="s">
        <v>26</v>
      </c>
      <c r="C17" s="108" t="s">
        <v>27</v>
      </c>
      <c r="D17" s="109">
        <v>5102240</v>
      </c>
      <c r="E17" s="109" t="s">
        <v>28</v>
      </c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</row>
    <row r="18" spans="1:18" outlineLevel="1" x14ac:dyDescent="0.3">
      <c r="A18" s="34" t="s">
        <v>29</v>
      </c>
      <c r="B18" s="108" t="s">
        <v>14</v>
      </c>
      <c r="C18" s="108" t="s">
        <v>15</v>
      </c>
      <c r="D18" s="109">
        <v>5102250</v>
      </c>
      <c r="E18" s="109" t="s">
        <v>16</v>
      </c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</row>
    <row r="19" spans="1:18" outlineLevel="1" x14ac:dyDescent="0.3">
      <c r="A19" s="34" t="s">
        <v>30</v>
      </c>
      <c r="B19" s="108" t="s">
        <v>26</v>
      </c>
      <c r="C19" s="108" t="s">
        <v>15</v>
      </c>
      <c r="D19" s="109">
        <v>5102260</v>
      </c>
      <c r="E19" s="109" t="s">
        <v>28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18" outlineLevel="1" x14ac:dyDescent="0.3">
      <c r="A20" s="34" t="s">
        <v>31</v>
      </c>
      <c r="B20" s="108" t="s">
        <v>14</v>
      </c>
      <c r="C20" s="108" t="s">
        <v>15</v>
      </c>
      <c r="D20" s="109">
        <v>5102280</v>
      </c>
      <c r="E20" s="109" t="s">
        <v>16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18" outlineLevel="1" x14ac:dyDescent="0.3">
      <c r="A21" s="34" t="s">
        <v>32</v>
      </c>
      <c r="B21" s="108" t="s">
        <v>26</v>
      </c>
      <c r="C21" s="108" t="s">
        <v>15</v>
      </c>
      <c r="D21" s="109">
        <v>5102290</v>
      </c>
      <c r="E21" s="109" t="s">
        <v>28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</row>
    <row r="22" spans="1:18" x14ac:dyDescent="0.3">
      <c r="A22" s="26" t="s">
        <v>33</v>
      </c>
      <c r="B22" s="112" t="s">
        <v>7</v>
      </c>
      <c r="C22" s="112"/>
      <c r="D22" s="113" t="s">
        <v>21</v>
      </c>
      <c r="E22" s="113"/>
      <c r="F22" s="114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</row>
    <row r="23" spans="1:18" outlineLevel="1" x14ac:dyDescent="0.3">
      <c r="A23" s="34" t="s">
        <v>34</v>
      </c>
      <c r="B23" s="108" t="s">
        <v>18</v>
      </c>
      <c r="C23" s="108" t="s">
        <v>15</v>
      </c>
      <c r="D23" s="109">
        <v>5102410</v>
      </c>
      <c r="E23" s="109" t="s">
        <v>19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</row>
    <row r="24" spans="1:18" outlineLevel="1" x14ac:dyDescent="0.3">
      <c r="A24" s="34" t="s">
        <v>35</v>
      </c>
      <c r="B24" s="115" t="s">
        <v>7</v>
      </c>
      <c r="C24" s="115" t="s">
        <v>15</v>
      </c>
      <c r="D24" s="109">
        <v>5102420</v>
      </c>
      <c r="E24" s="109" t="s">
        <v>28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</row>
    <row r="25" spans="1:18" outlineLevel="1" x14ac:dyDescent="0.3">
      <c r="A25" s="34" t="s">
        <v>36</v>
      </c>
      <c r="B25" s="115"/>
      <c r="C25" s="115" t="s">
        <v>37</v>
      </c>
      <c r="D25" s="109" t="s">
        <v>38</v>
      </c>
      <c r="E25" s="109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</row>
    <row r="26" spans="1:18" x14ac:dyDescent="0.3">
      <c r="A26" s="13" t="s">
        <v>39</v>
      </c>
      <c r="B26" s="104" t="s">
        <v>7</v>
      </c>
      <c r="C26" s="104"/>
      <c r="D26" s="105"/>
      <c r="E26" s="105"/>
      <c r="F26" s="106">
        <f t="shared" ref="F26:R26" si="0">F27+F46+F52+F60+F68+F79+F88+F100+F107+F115+F118+F128+F130+F138+F140+F146+F149+F158+F163+F168+F173</f>
        <v>782046892</v>
      </c>
      <c r="G26" s="106">
        <f t="shared" si="0"/>
        <v>12453907</v>
      </c>
      <c r="H26" s="106">
        <f t="shared" si="0"/>
        <v>12453907</v>
      </c>
      <c r="I26" s="106">
        <f t="shared" si="0"/>
        <v>160603909</v>
      </c>
      <c r="J26" s="106">
        <f t="shared" si="0"/>
        <v>12453907</v>
      </c>
      <c r="K26" s="106">
        <f t="shared" si="0"/>
        <v>12453907</v>
      </c>
      <c r="L26" s="106">
        <f t="shared" si="0"/>
        <v>160603909</v>
      </c>
      <c r="M26" s="106">
        <f t="shared" si="0"/>
        <v>12453907</v>
      </c>
      <c r="N26" s="106">
        <f t="shared" si="0"/>
        <v>12453907</v>
      </c>
      <c r="O26" s="106">
        <f t="shared" si="0"/>
        <v>160603909</v>
      </c>
      <c r="P26" s="106">
        <f t="shared" si="0"/>
        <v>12453907</v>
      </c>
      <c r="Q26" s="106">
        <f t="shared" si="0"/>
        <v>12453907</v>
      </c>
      <c r="R26" s="106">
        <f t="shared" si="0"/>
        <v>200603909</v>
      </c>
    </row>
    <row r="27" spans="1:18" x14ac:dyDescent="0.3">
      <c r="A27" s="26" t="s">
        <v>40</v>
      </c>
      <c r="B27" s="112" t="s">
        <v>7</v>
      </c>
      <c r="C27" s="112"/>
      <c r="D27" s="113"/>
      <c r="E27" s="113"/>
      <c r="F27" s="114">
        <f t="shared" ref="F27:R27" si="1">SUM(F28:F45)</f>
        <v>119328228</v>
      </c>
      <c r="G27" s="114">
        <f t="shared" si="1"/>
        <v>9394019</v>
      </c>
      <c r="H27" s="114">
        <f t="shared" si="1"/>
        <v>9394019</v>
      </c>
      <c r="I27" s="114">
        <f t="shared" si="1"/>
        <v>11044019</v>
      </c>
      <c r="J27" s="114">
        <f t="shared" si="1"/>
        <v>9394019</v>
      </c>
      <c r="K27" s="114">
        <f t="shared" si="1"/>
        <v>9394019</v>
      </c>
      <c r="L27" s="114">
        <f t="shared" si="1"/>
        <v>11044019</v>
      </c>
      <c r="M27" s="114">
        <f t="shared" si="1"/>
        <v>9394019</v>
      </c>
      <c r="N27" s="114">
        <f t="shared" si="1"/>
        <v>9394019</v>
      </c>
      <c r="O27" s="114">
        <f t="shared" si="1"/>
        <v>11044019</v>
      </c>
      <c r="P27" s="114">
        <f t="shared" si="1"/>
        <v>9394019</v>
      </c>
      <c r="Q27" s="114">
        <f t="shared" si="1"/>
        <v>9394019</v>
      </c>
      <c r="R27" s="114">
        <f t="shared" si="1"/>
        <v>11044019</v>
      </c>
    </row>
    <row r="28" spans="1:18" outlineLevel="1" x14ac:dyDescent="0.3">
      <c r="A28" s="34" t="s">
        <v>41</v>
      </c>
      <c r="B28" s="108" t="s">
        <v>42</v>
      </c>
      <c r="C28" s="108" t="s">
        <v>15</v>
      </c>
      <c r="D28" s="109">
        <v>5103260</v>
      </c>
      <c r="E28" s="109" t="s">
        <v>43</v>
      </c>
      <c r="F28" s="110">
        <f t="shared" ref="F28:F45" si="2">SUM(G28:R28)</f>
        <v>0</v>
      </c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</row>
    <row r="29" spans="1:18" outlineLevel="1" x14ac:dyDescent="0.3">
      <c r="A29" s="34" t="s">
        <v>44</v>
      </c>
      <c r="B29" s="108" t="s">
        <v>45</v>
      </c>
      <c r="C29" s="108" t="s">
        <v>15</v>
      </c>
      <c r="D29" s="109">
        <v>5103250</v>
      </c>
      <c r="E29" s="109" t="s">
        <v>46</v>
      </c>
      <c r="F29" s="110">
        <f t="shared" si="2"/>
        <v>0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</row>
    <row r="30" spans="1:18" outlineLevel="1" x14ac:dyDescent="0.3">
      <c r="A30" s="34" t="s">
        <v>47</v>
      </c>
      <c r="B30" s="108" t="s">
        <v>48</v>
      </c>
      <c r="C30" s="108" t="s">
        <v>15</v>
      </c>
      <c r="D30" s="109">
        <v>5103240</v>
      </c>
      <c r="E30" s="109" t="s">
        <v>49</v>
      </c>
      <c r="F30" s="110">
        <f t="shared" si="2"/>
        <v>0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</row>
    <row r="31" spans="1:18" outlineLevel="1" x14ac:dyDescent="0.3">
      <c r="A31" s="34" t="s">
        <v>50</v>
      </c>
      <c r="B31" s="108" t="s">
        <v>51</v>
      </c>
      <c r="C31" s="108" t="s">
        <v>15</v>
      </c>
      <c r="D31" s="109">
        <v>5103230</v>
      </c>
      <c r="E31" s="109" t="s">
        <v>52</v>
      </c>
      <c r="F31" s="110">
        <f t="shared" si="2"/>
        <v>0</v>
      </c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</row>
    <row r="32" spans="1:18" outlineLevel="1" x14ac:dyDescent="0.3">
      <c r="A32" s="34" t="s">
        <v>53</v>
      </c>
      <c r="B32" s="108" t="s">
        <v>54</v>
      </c>
      <c r="C32" s="108" t="s">
        <v>15</v>
      </c>
      <c r="D32" s="109">
        <v>5103220</v>
      </c>
      <c r="E32" s="109" t="s">
        <v>55</v>
      </c>
      <c r="F32" s="110">
        <f t="shared" si="2"/>
        <v>0</v>
      </c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spans="1:18" s="118" customFormat="1" outlineLevel="1" x14ac:dyDescent="0.3">
      <c r="A33" s="54" t="s">
        <v>56</v>
      </c>
      <c r="B33" s="115" t="s">
        <v>56</v>
      </c>
      <c r="C33" s="115" t="s">
        <v>15</v>
      </c>
      <c r="D33" s="116">
        <v>5103210</v>
      </c>
      <c r="E33" s="116" t="s">
        <v>57</v>
      </c>
      <c r="F33" s="117">
        <f t="shared" si="2"/>
        <v>840000</v>
      </c>
      <c r="G33" s="117"/>
      <c r="H33" s="117"/>
      <c r="I33" s="117">
        <v>210000</v>
      </c>
      <c r="J33" s="117"/>
      <c r="K33" s="117"/>
      <c r="L33" s="117">
        <v>210000</v>
      </c>
      <c r="M33" s="117"/>
      <c r="N33" s="117"/>
      <c r="O33" s="117">
        <v>210000</v>
      </c>
      <c r="P33" s="117"/>
      <c r="Q33" s="117"/>
      <c r="R33" s="117">
        <v>210000</v>
      </c>
    </row>
    <row r="34" spans="1:18" s="118" customFormat="1" outlineLevel="1" x14ac:dyDescent="0.3">
      <c r="A34" s="54" t="s">
        <v>58</v>
      </c>
      <c r="B34" s="115" t="s">
        <v>59</v>
      </c>
      <c r="C34" s="115" t="s">
        <v>15</v>
      </c>
      <c r="D34" s="116">
        <v>5103190</v>
      </c>
      <c r="E34" s="116" t="s">
        <v>60</v>
      </c>
      <c r="F34" s="117">
        <f t="shared" si="2"/>
        <v>1429632</v>
      </c>
      <c r="G34" s="117">
        <v>119136</v>
      </c>
      <c r="H34" s="117">
        <f>G34</f>
        <v>119136</v>
      </c>
      <c r="I34" s="117">
        <f t="shared" ref="I34:R34" si="3">H34</f>
        <v>119136</v>
      </c>
      <c r="J34" s="117">
        <f t="shared" si="3"/>
        <v>119136</v>
      </c>
      <c r="K34" s="117">
        <f t="shared" si="3"/>
        <v>119136</v>
      </c>
      <c r="L34" s="117">
        <f t="shared" si="3"/>
        <v>119136</v>
      </c>
      <c r="M34" s="117">
        <f t="shared" si="3"/>
        <v>119136</v>
      </c>
      <c r="N34" s="117">
        <f t="shared" si="3"/>
        <v>119136</v>
      </c>
      <c r="O34" s="117">
        <f t="shared" si="3"/>
        <v>119136</v>
      </c>
      <c r="P34" s="117">
        <f t="shared" si="3"/>
        <v>119136</v>
      </c>
      <c r="Q34" s="117">
        <f t="shared" si="3"/>
        <v>119136</v>
      </c>
      <c r="R34" s="117">
        <f t="shared" si="3"/>
        <v>119136</v>
      </c>
    </row>
    <row r="35" spans="1:18" outlineLevel="1" x14ac:dyDescent="0.3">
      <c r="A35" s="34" t="s">
        <v>61</v>
      </c>
      <c r="B35" s="108" t="s">
        <v>62</v>
      </c>
      <c r="C35" s="108" t="s">
        <v>15</v>
      </c>
      <c r="D35" s="109">
        <v>5103180</v>
      </c>
      <c r="E35" s="109" t="s">
        <v>63</v>
      </c>
      <c r="F35" s="110">
        <f t="shared" si="2"/>
        <v>0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</row>
    <row r="36" spans="1:18" outlineLevel="1" x14ac:dyDescent="0.3">
      <c r="A36" s="34" t="s">
        <v>64</v>
      </c>
      <c r="B36" s="108" t="s">
        <v>65</v>
      </c>
      <c r="C36" s="108" t="s">
        <v>15</v>
      </c>
      <c r="D36" s="109">
        <v>5103170</v>
      </c>
      <c r="E36" s="109" t="s">
        <v>66</v>
      </c>
      <c r="F36" s="110">
        <f t="shared" si="2"/>
        <v>0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</row>
    <row r="37" spans="1:18" outlineLevel="1" x14ac:dyDescent="0.3">
      <c r="A37" s="34" t="s">
        <v>67</v>
      </c>
      <c r="B37" s="108" t="s">
        <v>68</v>
      </c>
      <c r="C37" s="108" t="s">
        <v>15</v>
      </c>
      <c r="D37" s="109">
        <v>5103160</v>
      </c>
      <c r="E37" s="109" t="s">
        <v>69</v>
      </c>
      <c r="F37" s="110">
        <f t="shared" si="2"/>
        <v>0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</row>
    <row r="38" spans="1:18" outlineLevel="1" x14ac:dyDescent="0.3">
      <c r="A38" s="34" t="s">
        <v>70</v>
      </c>
      <c r="B38" s="108" t="s">
        <v>71</v>
      </c>
      <c r="C38" s="108" t="s">
        <v>15</v>
      </c>
      <c r="D38" s="109">
        <v>5103150</v>
      </c>
      <c r="E38" s="109" t="s">
        <v>72</v>
      </c>
      <c r="F38" s="110">
        <f t="shared" si="2"/>
        <v>0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</row>
    <row r="39" spans="1:18" outlineLevel="1" x14ac:dyDescent="0.3">
      <c r="A39" s="34" t="s">
        <v>73</v>
      </c>
      <c r="B39" s="108" t="s">
        <v>74</v>
      </c>
      <c r="C39" s="108" t="s">
        <v>15</v>
      </c>
      <c r="D39" s="109">
        <v>5103140</v>
      </c>
      <c r="E39" s="109" t="s">
        <v>75</v>
      </c>
      <c r="F39" s="110">
        <f t="shared" si="2"/>
        <v>0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</row>
    <row r="40" spans="1:18" outlineLevel="1" x14ac:dyDescent="0.3">
      <c r="A40" s="34" t="s">
        <v>76</v>
      </c>
      <c r="B40" s="108" t="s">
        <v>7</v>
      </c>
      <c r="C40" s="108" t="s">
        <v>15</v>
      </c>
      <c r="D40" s="109">
        <v>5103130</v>
      </c>
      <c r="E40" s="109" t="s">
        <v>77</v>
      </c>
      <c r="F40" s="110">
        <f t="shared" si="2"/>
        <v>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</row>
    <row r="41" spans="1:18" outlineLevel="1" x14ac:dyDescent="0.3">
      <c r="A41" s="34" t="s">
        <v>78</v>
      </c>
      <c r="B41" s="108" t="s">
        <v>79</v>
      </c>
      <c r="C41" s="108" t="s">
        <v>15</v>
      </c>
      <c r="D41" s="109">
        <v>5103120</v>
      </c>
      <c r="E41" s="109" t="s">
        <v>80</v>
      </c>
      <c r="F41" s="110">
        <f t="shared" si="2"/>
        <v>0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</row>
    <row r="42" spans="1:18" outlineLevel="1" x14ac:dyDescent="0.3">
      <c r="A42" s="34" t="s">
        <v>81</v>
      </c>
      <c r="B42" s="108" t="s">
        <v>82</v>
      </c>
      <c r="C42" s="108" t="s">
        <v>15</v>
      </c>
      <c r="D42" s="109">
        <v>5103110</v>
      </c>
      <c r="E42" s="109" t="s">
        <v>83</v>
      </c>
      <c r="F42" s="110">
        <f t="shared" si="2"/>
        <v>0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</row>
    <row r="43" spans="1:18" s="118" customFormat="1" outlineLevel="1" x14ac:dyDescent="0.3">
      <c r="A43" s="54" t="s">
        <v>84</v>
      </c>
      <c r="B43" s="115" t="s">
        <v>59</v>
      </c>
      <c r="C43" s="115" t="s">
        <v>15</v>
      </c>
      <c r="D43" s="116">
        <v>5103270</v>
      </c>
      <c r="E43" s="116" t="s">
        <v>60</v>
      </c>
      <c r="F43" s="117">
        <f t="shared" si="2"/>
        <v>111298596</v>
      </c>
      <c r="G43" s="117">
        <v>9274883</v>
      </c>
      <c r="H43" s="117">
        <f>G43</f>
        <v>9274883</v>
      </c>
      <c r="I43" s="117">
        <f t="shared" ref="I43:R43" si="4">H43</f>
        <v>9274883</v>
      </c>
      <c r="J43" s="117">
        <f t="shared" si="4"/>
        <v>9274883</v>
      </c>
      <c r="K43" s="117">
        <f t="shared" si="4"/>
        <v>9274883</v>
      </c>
      <c r="L43" s="117">
        <f t="shared" si="4"/>
        <v>9274883</v>
      </c>
      <c r="M43" s="117">
        <f t="shared" si="4"/>
        <v>9274883</v>
      </c>
      <c r="N43" s="117">
        <f t="shared" si="4"/>
        <v>9274883</v>
      </c>
      <c r="O43" s="117">
        <f t="shared" si="4"/>
        <v>9274883</v>
      </c>
      <c r="P43" s="117">
        <f t="shared" si="4"/>
        <v>9274883</v>
      </c>
      <c r="Q43" s="117">
        <f t="shared" si="4"/>
        <v>9274883</v>
      </c>
      <c r="R43" s="117">
        <f t="shared" si="4"/>
        <v>9274883</v>
      </c>
    </row>
    <row r="44" spans="1:18" s="118" customFormat="1" outlineLevel="1" x14ac:dyDescent="0.3">
      <c r="A44" s="54" t="s">
        <v>85</v>
      </c>
      <c r="B44" s="115" t="s">
        <v>85</v>
      </c>
      <c r="C44" s="115" t="s">
        <v>27</v>
      </c>
      <c r="D44" s="116">
        <v>5103111</v>
      </c>
      <c r="E44" s="116" t="s">
        <v>86</v>
      </c>
      <c r="F44" s="117">
        <f t="shared" si="2"/>
        <v>0</v>
      </c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</row>
    <row r="45" spans="1:18" s="118" customFormat="1" outlineLevel="1" x14ac:dyDescent="0.3">
      <c r="A45" s="54" t="s">
        <v>87</v>
      </c>
      <c r="B45" s="115" t="s">
        <v>87</v>
      </c>
      <c r="C45" s="115" t="s">
        <v>15</v>
      </c>
      <c r="D45" s="116">
        <v>5103131</v>
      </c>
      <c r="E45" s="116" t="s">
        <v>88</v>
      </c>
      <c r="F45" s="117">
        <f t="shared" si="2"/>
        <v>5760000</v>
      </c>
      <c r="G45" s="117"/>
      <c r="H45" s="117"/>
      <c r="I45" s="117">
        <v>1440000</v>
      </c>
      <c r="J45" s="117"/>
      <c r="K45" s="117"/>
      <c r="L45" s="117">
        <v>1440000</v>
      </c>
      <c r="M45" s="117"/>
      <c r="N45" s="117"/>
      <c r="O45" s="117">
        <v>1440000</v>
      </c>
      <c r="P45" s="117"/>
      <c r="Q45" s="117"/>
      <c r="R45" s="117">
        <v>1440000</v>
      </c>
    </row>
    <row r="46" spans="1:18" x14ac:dyDescent="0.3">
      <c r="A46" s="26" t="s">
        <v>89</v>
      </c>
      <c r="B46" s="112" t="s">
        <v>7</v>
      </c>
      <c r="C46" s="112"/>
      <c r="D46" s="113"/>
      <c r="E46" s="113"/>
      <c r="F46" s="114">
        <f t="shared" ref="F46:R46" si="5">SUM(F47:F51)</f>
        <v>5400008</v>
      </c>
      <c r="G46" s="114">
        <f t="shared" si="5"/>
        <v>450000</v>
      </c>
      <c r="H46" s="114">
        <f t="shared" si="5"/>
        <v>450000</v>
      </c>
      <c r="I46" s="114">
        <f t="shared" si="5"/>
        <v>450002</v>
      </c>
      <c r="J46" s="114">
        <f t="shared" si="5"/>
        <v>450000</v>
      </c>
      <c r="K46" s="114">
        <f t="shared" si="5"/>
        <v>450000</v>
      </c>
      <c r="L46" s="114">
        <f t="shared" si="5"/>
        <v>450002</v>
      </c>
      <c r="M46" s="114">
        <f t="shared" si="5"/>
        <v>450000</v>
      </c>
      <c r="N46" s="114">
        <f t="shared" si="5"/>
        <v>450000</v>
      </c>
      <c r="O46" s="114">
        <f t="shared" si="5"/>
        <v>450002</v>
      </c>
      <c r="P46" s="114">
        <f t="shared" si="5"/>
        <v>450000</v>
      </c>
      <c r="Q46" s="114">
        <f t="shared" si="5"/>
        <v>450000</v>
      </c>
      <c r="R46" s="114">
        <f t="shared" si="5"/>
        <v>450002</v>
      </c>
    </row>
    <row r="47" spans="1:18" outlineLevel="1" x14ac:dyDescent="0.3">
      <c r="A47" s="34" t="s">
        <v>90</v>
      </c>
      <c r="B47" s="108" t="s">
        <v>91</v>
      </c>
      <c r="C47" s="108" t="s">
        <v>15</v>
      </c>
      <c r="D47" s="109">
        <v>5104110</v>
      </c>
      <c r="E47" s="109" t="s">
        <v>92</v>
      </c>
      <c r="F47" s="110">
        <f>SUM(G47:R47)</f>
        <v>4</v>
      </c>
      <c r="G47" s="110"/>
      <c r="H47" s="110"/>
      <c r="I47" s="110">
        <v>1</v>
      </c>
      <c r="J47" s="110"/>
      <c r="K47" s="110"/>
      <c r="L47" s="110">
        <v>1</v>
      </c>
      <c r="M47" s="110"/>
      <c r="N47" s="110"/>
      <c r="O47" s="110">
        <v>1</v>
      </c>
      <c r="P47" s="110"/>
      <c r="Q47" s="110"/>
      <c r="R47" s="110">
        <v>1</v>
      </c>
    </row>
    <row r="48" spans="1:18" s="118" customFormat="1" outlineLevel="1" x14ac:dyDescent="0.3">
      <c r="A48" s="54" t="s">
        <v>93</v>
      </c>
      <c r="B48" s="115" t="s">
        <v>94</v>
      </c>
      <c r="C48" s="115" t="s">
        <v>15</v>
      </c>
      <c r="D48" s="116">
        <v>5104120</v>
      </c>
      <c r="E48" s="116" t="s">
        <v>95</v>
      </c>
      <c r="F48" s="117">
        <f>SUM(G48:R48)</f>
        <v>4800000</v>
      </c>
      <c r="G48" s="117">
        <v>400000</v>
      </c>
      <c r="H48" s="117">
        <v>400000</v>
      </c>
      <c r="I48" s="117">
        <v>400000</v>
      </c>
      <c r="J48" s="117">
        <v>400000</v>
      </c>
      <c r="K48" s="117">
        <v>400000</v>
      </c>
      <c r="L48" s="117">
        <v>400000</v>
      </c>
      <c r="M48" s="117">
        <v>400000</v>
      </c>
      <c r="N48" s="117">
        <v>400000</v>
      </c>
      <c r="O48" s="117">
        <v>400000</v>
      </c>
      <c r="P48" s="117">
        <v>400000</v>
      </c>
      <c r="Q48" s="117">
        <v>400000</v>
      </c>
      <c r="R48" s="117">
        <v>400000</v>
      </c>
    </row>
    <row r="49" spans="1:18" s="118" customFormat="1" outlineLevel="1" x14ac:dyDescent="0.3">
      <c r="A49" s="54" t="s">
        <v>96</v>
      </c>
      <c r="B49" s="115" t="s">
        <v>97</v>
      </c>
      <c r="C49" s="115" t="s">
        <v>15</v>
      </c>
      <c r="D49" s="116">
        <v>5104130</v>
      </c>
      <c r="E49" s="116" t="s">
        <v>98</v>
      </c>
      <c r="F49" s="117">
        <f>SUM(G49:R49)</f>
        <v>600000</v>
      </c>
      <c r="G49" s="117">
        <v>50000</v>
      </c>
      <c r="H49" s="117">
        <v>50000</v>
      </c>
      <c r="I49" s="117">
        <v>50000</v>
      </c>
      <c r="J49" s="117">
        <v>50000</v>
      </c>
      <c r="K49" s="117">
        <v>50000</v>
      </c>
      <c r="L49" s="117">
        <v>50000</v>
      </c>
      <c r="M49" s="117">
        <v>50000</v>
      </c>
      <c r="N49" s="117">
        <v>50000</v>
      </c>
      <c r="O49" s="117">
        <v>50000</v>
      </c>
      <c r="P49" s="117">
        <v>50000</v>
      </c>
      <c r="Q49" s="117">
        <v>50000</v>
      </c>
      <c r="R49" s="117">
        <v>50000</v>
      </c>
    </row>
    <row r="50" spans="1:18" outlineLevel="1" x14ac:dyDescent="0.3">
      <c r="A50" s="34" t="s">
        <v>99</v>
      </c>
      <c r="B50" s="108" t="s">
        <v>100</v>
      </c>
      <c r="C50" s="108" t="s">
        <v>15</v>
      </c>
      <c r="D50" s="109">
        <v>5104140</v>
      </c>
      <c r="E50" s="109" t="s">
        <v>101</v>
      </c>
      <c r="F50" s="110">
        <f>SUM(G50:R50)</f>
        <v>0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</row>
    <row r="51" spans="1:18" outlineLevel="1" x14ac:dyDescent="0.3">
      <c r="A51" s="34" t="s">
        <v>102</v>
      </c>
      <c r="B51" s="108" t="s">
        <v>102</v>
      </c>
      <c r="C51" s="108" t="s">
        <v>15</v>
      </c>
      <c r="D51" s="109">
        <v>5104150</v>
      </c>
      <c r="E51" s="109" t="s">
        <v>103</v>
      </c>
      <c r="F51" s="110">
        <f>SUM(G51:R51)</f>
        <v>4</v>
      </c>
      <c r="G51" s="110"/>
      <c r="H51" s="110"/>
      <c r="I51" s="110">
        <v>1</v>
      </c>
      <c r="J51" s="110"/>
      <c r="K51" s="110"/>
      <c r="L51" s="110">
        <v>1</v>
      </c>
      <c r="M51" s="110"/>
      <c r="N51" s="110"/>
      <c r="O51" s="110">
        <v>1</v>
      </c>
      <c r="P51" s="110"/>
      <c r="Q51" s="110"/>
      <c r="R51" s="110">
        <v>1</v>
      </c>
    </row>
    <row r="52" spans="1:18" x14ac:dyDescent="0.3">
      <c r="A52" s="26" t="s">
        <v>104</v>
      </c>
      <c r="B52" s="112" t="s">
        <v>7</v>
      </c>
      <c r="C52" s="112"/>
      <c r="D52" s="113"/>
      <c r="E52" s="113"/>
      <c r="F52" s="114">
        <f t="shared" ref="F52:R52" si="6">SUM(F53:F59)</f>
        <v>0</v>
      </c>
      <c r="G52" s="114">
        <f t="shared" si="6"/>
        <v>0</v>
      </c>
      <c r="H52" s="114">
        <f t="shared" si="6"/>
        <v>0</v>
      </c>
      <c r="I52" s="114">
        <f t="shared" si="6"/>
        <v>0</v>
      </c>
      <c r="J52" s="114">
        <f t="shared" si="6"/>
        <v>0</v>
      </c>
      <c r="K52" s="114">
        <f t="shared" si="6"/>
        <v>0</v>
      </c>
      <c r="L52" s="114">
        <f t="shared" si="6"/>
        <v>0</v>
      </c>
      <c r="M52" s="114">
        <f t="shared" si="6"/>
        <v>0</v>
      </c>
      <c r="N52" s="114">
        <f t="shared" si="6"/>
        <v>0</v>
      </c>
      <c r="O52" s="114">
        <f t="shared" si="6"/>
        <v>0</v>
      </c>
      <c r="P52" s="114">
        <f t="shared" si="6"/>
        <v>0</v>
      </c>
      <c r="Q52" s="114">
        <f t="shared" si="6"/>
        <v>0</v>
      </c>
      <c r="R52" s="114">
        <f t="shared" si="6"/>
        <v>0</v>
      </c>
    </row>
    <row r="53" spans="1:18" outlineLevel="1" x14ac:dyDescent="0.3">
      <c r="A53" s="34" t="s">
        <v>105</v>
      </c>
      <c r="B53" s="108" t="s">
        <v>106</v>
      </c>
      <c r="C53" s="108" t="s">
        <v>15</v>
      </c>
      <c r="D53" s="109">
        <v>5105160</v>
      </c>
      <c r="E53" s="109" t="s">
        <v>107</v>
      </c>
      <c r="F53" s="110">
        <f t="shared" ref="F53:F59" si="7">SUM(G53:R53)</f>
        <v>0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</row>
    <row r="54" spans="1:18" outlineLevel="1" x14ac:dyDescent="0.3">
      <c r="A54" s="34" t="s">
        <v>108</v>
      </c>
      <c r="B54" s="108" t="s">
        <v>106</v>
      </c>
      <c r="C54" s="108" t="s">
        <v>15</v>
      </c>
      <c r="D54" s="109">
        <v>5105150</v>
      </c>
      <c r="E54" s="109" t="s">
        <v>107</v>
      </c>
      <c r="F54" s="110">
        <f t="shared" si="7"/>
        <v>0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</row>
    <row r="55" spans="1:18" outlineLevel="1" x14ac:dyDescent="0.3">
      <c r="A55" s="34" t="s">
        <v>109</v>
      </c>
      <c r="B55" s="108" t="s">
        <v>110</v>
      </c>
      <c r="C55" s="108" t="s">
        <v>15</v>
      </c>
      <c r="D55" s="109">
        <v>5105140</v>
      </c>
      <c r="E55" s="109" t="s">
        <v>111</v>
      </c>
      <c r="F55" s="110">
        <f t="shared" si="7"/>
        <v>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</row>
    <row r="56" spans="1:18" outlineLevel="1" x14ac:dyDescent="0.3">
      <c r="A56" s="34" t="s">
        <v>112</v>
      </c>
      <c r="B56" s="108" t="s">
        <v>106</v>
      </c>
      <c r="C56" s="108" t="s">
        <v>15</v>
      </c>
      <c r="D56" s="109">
        <v>5105130</v>
      </c>
      <c r="E56" s="109" t="s">
        <v>107</v>
      </c>
      <c r="F56" s="110">
        <f t="shared" si="7"/>
        <v>0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</row>
    <row r="57" spans="1:18" outlineLevel="1" x14ac:dyDescent="0.3">
      <c r="A57" s="34" t="s">
        <v>113</v>
      </c>
      <c r="B57" s="108" t="s">
        <v>106</v>
      </c>
      <c r="C57" s="108" t="s">
        <v>15</v>
      </c>
      <c r="D57" s="109">
        <v>5105120</v>
      </c>
      <c r="E57" s="109" t="s">
        <v>107</v>
      </c>
      <c r="F57" s="110">
        <f t="shared" si="7"/>
        <v>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</row>
    <row r="58" spans="1:18" outlineLevel="1" x14ac:dyDescent="0.3">
      <c r="A58" s="34" t="s">
        <v>114</v>
      </c>
      <c r="B58" s="108" t="s">
        <v>106</v>
      </c>
      <c r="C58" s="108" t="s">
        <v>15</v>
      </c>
      <c r="D58" s="109">
        <v>5105110</v>
      </c>
      <c r="E58" s="109" t="s">
        <v>107</v>
      </c>
      <c r="F58" s="110">
        <f t="shared" si="7"/>
        <v>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</row>
    <row r="59" spans="1:18" outlineLevel="1" x14ac:dyDescent="0.3">
      <c r="A59" s="34" t="s">
        <v>115</v>
      </c>
      <c r="B59" s="108" t="s">
        <v>106</v>
      </c>
      <c r="C59" s="108" t="s">
        <v>15</v>
      </c>
      <c r="D59" s="109">
        <v>5105111</v>
      </c>
      <c r="E59" s="109" t="s">
        <v>107</v>
      </c>
      <c r="F59" s="110">
        <f t="shared" si="7"/>
        <v>0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</row>
    <row r="60" spans="1:18" x14ac:dyDescent="0.3">
      <c r="A60" s="26" t="s">
        <v>116</v>
      </c>
      <c r="B60" s="112" t="s">
        <v>7</v>
      </c>
      <c r="C60" s="112"/>
      <c r="D60" s="113"/>
      <c r="E60" s="113"/>
      <c r="F60" s="114">
        <f t="shared" ref="F60:R60" si="8">SUM(F61:F67)</f>
        <v>0</v>
      </c>
      <c r="G60" s="114">
        <f t="shared" si="8"/>
        <v>0</v>
      </c>
      <c r="H60" s="114">
        <f t="shared" si="8"/>
        <v>0</v>
      </c>
      <c r="I60" s="114">
        <f t="shared" si="8"/>
        <v>0</v>
      </c>
      <c r="J60" s="114">
        <f t="shared" si="8"/>
        <v>0</v>
      </c>
      <c r="K60" s="114">
        <f t="shared" si="8"/>
        <v>0</v>
      </c>
      <c r="L60" s="114">
        <f t="shared" si="8"/>
        <v>0</v>
      </c>
      <c r="M60" s="114">
        <f t="shared" si="8"/>
        <v>0</v>
      </c>
      <c r="N60" s="114">
        <f t="shared" si="8"/>
        <v>0</v>
      </c>
      <c r="O60" s="114">
        <f t="shared" si="8"/>
        <v>0</v>
      </c>
      <c r="P60" s="114">
        <f t="shared" si="8"/>
        <v>0</v>
      </c>
      <c r="Q60" s="114">
        <f t="shared" si="8"/>
        <v>0</v>
      </c>
      <c r="R60" s="114">
        <f t="shared" si="8"/>
        <v>0</v>
      </c>
    </row>
    <row r="61" spans="1:18" outlineLevel="1" x14ac:dyDescent="0.3">
      <c r="A61" s="34" t="s">
        <v>117</v>
      </c>
      <c r="B61" s="108" t="s">
        <v>118</v>
      </c>
      <c r="C61" s="108" t="s">
        <v>27</v>
      </c>
      <c r="D61" s="109">
        <v>5106110</v>
      </c>
      <c r="E61" s="109" t="s">
        <v>119</v>
      </c>
      <c r="F61" s="110">
        <f t="shared" ref="F61:F67" si="9">SUM(G61:R61)</f>
        <v>0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</row>
    <row r="62" spans="1:18" outlineLevel="1" x14ac:dyDescent="0.3">
      <c r="A62" s="34" t="s">
        <v>120</v>
      </c>
      <c r="B62" s="108" t="s">
        <v>118</v>
      </c>
      <c r="C62" s="108" t="s">
        <v>15</v>
      </c>
      <c r="D62" s="109">
        <v>5106120</v>
      </c>
      <c r="E62" s="109" t="s">
        <v>119</v>
      </c>
      <c r="F62" s="110">
        <f t="shared" si="9"/>
        <v>0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</row>
    <row r="63" spans="1:18" outlineLevel="1" x14ac:dyDescent="0.3">
      <c r="A63" s="34" t="s">
        <v>121</v>
      </c>
      <c r="B63" s="108" t="s">
        <v>118</v>
      </c>
      <c r="C63" s="108" t="s">
        <v>27</v>
      </c>
      <c r="D63" s="109">
        <v>5106130</v>
      </c>
      <c r="E63" s="109" t="s">
        <v>119</v>
      </c>
      <c r="F63" s="110">
        <f t="shared" si="9"/>
        <v>0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</row>
    <row r="64" spans="1:18" outlineLevel="1" x14ac:dyDescent="0.3">
      <c r="A64" s="34" t="s">
        <v>122</v>
      </c>
      <c r="B64" s="108" t="s">
        <v>7</v>
      </c>
      <c r="C64" s="108" t="s">
        <v>27</v>
      </c>
      <c r="D64" s="109">
        <v>5106140</v>
      </c>
      <c r="E64" s="109" t="s">
        <v>119</v>
      </c>
      <c r="F64" s="110">
        <f t="shared" si="9"/>
        <v>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</row>
    <row r="65" spans="1:18" outlineLevel="1" x14ac:dyDescent="0.3">
      <c r="A65" s="34" t="s">
        <v>123</v>
      </c>
      <c r="B65" s="108" t="s">
        <v>118</v>
      </c>
      <c r="C65" s="108" t="s">
        <v>15</v>
      </c>
      <c r="D65" s="109">
        <v>5106150</v>
      </c>
      <c r="E65" s="109" t="s">
        <v>119</v>
      </c>
      <c r="F65" s="110">
        <f t="shared" si="9"/>
        <v>0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</row>
    <row r="66" spans="1:18" outlineLevel="1" x14ac:dyDescent="0.3">
      <c r="A66" s="34" t="s">
        <v>124</v>
      </c>
      <c r="B66" s="108" t="s">
        <v>7</v>
      </c>
      <c r="C66" s="108" t="s">
        <v>27</v>
      </c>
      <c r="D66" s="109">
        <v>5106160</v>
      </c>
      <c r="E66" s="109" t="s">
        <v>119</v>
      </c>
      <c r="F66" s="110">
        <f t="shared" si="9"/>
        <v>0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</row>
    <row r="67" spans="1:18" outlineLevel="1" x14ac:dyDescent="0.3">
      <c r="A67" s="34" t="s">
        <v>125</v>
      </c>
      <c r="B67" s="108" t="s">
        <v>118</v>
      </c>
      <c r="C67" s="108" t="s">
        <v>15</v>
      </c>
      <c r="D67" s="109">
        <v>5106141</v>
      </c>
      <c r="E67" s="109" t="s">
        <v>119</v>
      </c>
      <c r="F67" s="110">
        <f t="shared" si="9"/>
        <v>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</row>
    <row r="68" spans="1:18" x14ac:dyDescent="0.3">
      <c r="A68" s="26" t="s">
        <v>126</v>
      </c>
      <c r="B68" s="112" t="s">
        <v>7</v>
      </c>
      <c r="C68" s="112"/>
      <c r="D68" s="113"/>
      <c r="E68" s="113"/>
      <c r="F68" s="114">
        <f t="shared" ref="F68:R68" si="10">SUM(F69:F78)</f>
        <v>0</v>
      </c>
      <c r="G68" s="114">
        <f t="shared" si="10"/>
        <v>0</v>
      </c>
      <c r="H68" s="114">
        <f t="shared" si="10"/>
        <v>0</v>
      </c>
      <c r="I68" s="114">
        <f t="shared" si="10"/>
        <v>0</v>
      </c>
      <c r="J68" s="114">
        <f t="shared" si="10"/>
        <v>0</v>
      </c>
      <c r="K68" s="114">
        <f t="shared" si="10"/>
        <v>0</v>
      </c>
      <c r="L68" s="114">
        <f t="shared" si="10"/>
        <v>0</v>
      </c>
      <c r="M68" s="114">
        <f t="shared" si="10"/>
        <v>0</v>
      </c>
      <c r="N68" s="114">
        <f t="shared" si="10"/>
        <v>0</v>
      </c>
      <c r="O68" s="114">
        <f t="shared" si="10"/>
        <v>0</v>
      </c>
      <c r="P68" s="114">
        <f t="shared" si="10"/>
        <v>0</v>
      </c>
      <c r="Q68" s="114">
        <f t="shared" si="10"/>
        <v>0</v>
      </c>
      <c r="R68" s="114">
        <f t="shared" si="10"/>
        <v>0</v>
      </c>
    </row>
    <row r="69" spans="1:18" outlineLevel="1" x14ac:dyDescent="0.3">
      <c r="A69" s="34" t="s">
        <v>127</v>
      </c>
      <c r="B69" s="108" t="s">
        <v>128</v>
      </c>
      <c r="C69" s="108" t="s">
        <v>15</v>
      </c>
      <c r="D69" s="109">
        <v>5107110</v>
      </c>
      <c r="E69" s="109" t="s">
        <v>129</v>
      </c>
      <c r="F69" s="110">
        <f t="shared" ref="F69:F78" si="11">SUM(G69:R69)</f>
        <v>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</row>
    <row r="70" spans="1:18" outlineLevel="1" x14ac:dyDescent="0.3">
      <c r="A70" s="34" t="s">
        <v>130</v>
      </c>
      <c r="B70" s="108" t="s">
        <v>128</v>
      </c>
      <c r="C70" s="108" t="s">
        <v>15</v>
      </c>
      <c r="D70" s="109">
        <v>5107130</v>
      </c>
      <c r="E70" s="109" t="s">
        <v>129</v>
      </c>
      <c r="F70" s="110">
        <f t="shared" si="11"/>
        <v>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</row>
    <row r="71" spans="1:18" outlineLevel="1" x14ac:dyDescent="0.3">
      <c r="A71" s="40" t="s">
        <v>131</v>
      </c>
      <c r="B71" s="108" t="s">
        <v>128</v>
      </c>
      <c r="C71" s="108" t="s">
        <v>15</v>
      </c>
      <c r="D71" s="109">
        <v>5107120</v>
      </c>
      <c r="E71" s="109" t="s">
        <v>129</v>
      </c>
      <c r="F71" s="110">
        <f t="shared" si="11"/>
        <v>0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</row>
    <row r="72" spans="1:18" outlineLevel="1" x14ac:dyDescent="0.3">
      <c r="A72" s="34" t="s">
        <v>132</v>
      </c>
      <c r="B72" s="108" t="s">
        <v>128</v>
      </c>
      <c r="C72" s="108" t="s">
        <v>15</v>
      </c>
      <c r="D72" s="109">
        <v>5107140</v>
      </c>
      <c r="E72" s="109" t="s">
        <v>129</v>
      </c>
      <c r="F72" s="110">
        <f t="shared" si="11"/>
        <v>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</row>
    <row r="73" spans="1:18" outlineLevel="1" x14ac:dyDescent="0.3">
      <c r="A73" s="34" t="s">
        <v>133</v>
      </c>
      <c r="B73" s="108" t="s">
        <v>128</v>
      </c>
      <c r="C73" s="108" t="s">
        <v>15</v>
      </c>
      <c r="D73" s="109">
        <v>5107150</v>
      </c>
      <c r="E73" s="109" t="s">
        <v>129</v>
      </c>
      <c r="F73" s="110">
        <f t="shared" si="11"/>
        <v>0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</row>
    <row r="74" spans="1:18" outlineLevel="1" x14ac:dyDescent="0.3">
      <c r="A74" s="34" t="s">
        <v>134</v>
      </c>
      <c r="B74" s="108" t="s">
        <v>128</v>
      </c>
      <c r="C74" s="108" t="s">
        <v>15</v>
      </c>
      <c r="D74" s="109">
        <v>5107160</v>
      </c>
      <c r="E74" s="109" t="s">
        <v>129</v>
      </c>
      <c r="F74" s="110">
        <f t="shared" si="11"/>
        <v>0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</row>
    <row r="75" spans="1:18" outlineLevel="1" x14ac:dyDescent="0.3">
      <c r="A75" s="34" t="s">
        <v>135</v>
      </c>
      <c r="B75" s="108" t="s">
        <v>128</v>
      </c>
      <c r="C75" s="108" t="s">
        <v>15</v>
      </c>
      <c r="D75" s="109">
        <v>5107170</v>
      </c>
      <c r="E75" s="109" t="s">
        <v>129</v>
      </c>
      <c r="F75" s="110">
        <f t="shared" si="11"/>
        <v>0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</row>
    <row r="76" spans="1:18" outlineLevel="1" x14ac:dyDescent="0.3">
      <c r="A76" s="34" t="s">
        <v>136</v>
      </c>
      <c r="B76" s="108" t="s">
        <v>128</v>
      </c>
      <c r="C76" s="108" t="s">
        <v>15</v>
      </c>
      <c r="D76" s="109">
        <v>5107180</v>
      </c>
      <c r="E76" s="109" t="s">
        <v>129</v>
      </c>
      <c r="F76" s="110">
        <f t="shared" si="11"/>
        <v>0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</row>
    <row r="77" spans="1:18" outlineLevel="1" x14ac:dyDescent="0.3">
      <c r="A77" s="64" t="s">
        <v>137</v>
      </c>
      <c r="B77" s="108" t="s">
        <v>138</v>
      </c>
      <c r="C77" s="108" t="s">
        <v>15</v>
      </c>
      <c r="D77" s="109">
        <v>5107190</v>
      </c>
      <c r="E77" s="109" t="s">
        <v>129</v>
      </c>
      <c r="F77" s="110">
        <f t="shared" si="11"/>
        <v>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</row>
    <row r="78" spans="1:18" outlineLevel="1" x14ac:dyDescent="0.3">
      <c r="A78" s="34" t="s">
        <v>139</v>
      </c>
      <c r="B78" s="108" t="s">
        <v>140</v>
      </c>
      <c r="C78" s="108" t="s">
        <v>15</v>
      </c>
      <c r="D78" s="109">
        <v>5107210</v>
      </c>
      <c r="E78" s="109" t="s">
        <v>141</v>
      </c>
      <c r="F78" s="110">
        <f t="shared" si="11"/>
        <v>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</row>
    <row r="79" spans="1:18" x14ac:dyDescent="0.3">
      <c r="A79" s="26" t="s">
        <v>142</v>
      </c>
      <c r="B79" s="112" t="s">
        <v>7</v>
      </c>
      <c r="C79" s="112"/>
      <c r="D79" s="113"/>
      <c r="E79" s="113"/>
      <c r="F79" s="114">
        <f t="shared" ref="F79:R79" si="12">SUM(F80:F87)</f>
        <v>0</v>
      </c>
      <c r="G79" s="114">
        <f t="shared" si="12"/>
        <v>0</v>
      </c>
      <c r="H79" s="114">
        <f t="shared" si="12"/>
        <v>0</v>
      </c>
      <c r="I79" s="114">
        <f t="shared" si="12"/>
        <v>0</v>
      </c>
      <c r="J79" s="114">
        <f t="shared" si="12"/>
        <v>0</v>
      </c>
      <c r="K79" s="114">
        <f t="shared" si="12"/>
        <v>0</v>
      </c>
      <c r="L79" s="114">
        <f t="shared" si="12"/>
        <v>0</v>
      </c>
      <c r="M79" s="114">
        <f t="shared" si="12"/>
        <v>0</v>
      </c>
      <c r="N79" s="114">
        <f t="shared" si="12"/>
        <v>0</v>
      </c>
      <c r="O79" s="114">
        <f t="shared" si="12"/>
        <v>0</v>
      </c>
      <c r="P79" s="114">
        <f t="shared" si="12"/>
        <v>0</v>
      </c>
      <c r="Q79" s="114">
        <f t="shared" si="12"/>
        <v>0</v>
      </c>
      <c r="R79" s="114">
        <f t="shared" si="12"/>
        <v>0</v>
      </c>
    </row>
    <row r="80" spans="1:18" outlineLevel="1" x14ac:dyDescent="0.3">
      <c r="A80" s="34" t="s">
        <v>143</v>
      </c>
      <c r="B80" s="108" t="s">
        <v>144</v>
      </c>
      <c r="C80" s="108" t="s">
        <v>15</v>
      </c>
      <c r="D80" s="109">
        <v>5108110</v>
      </c>
      <c r="E80" s="109" t="s">
        <v>145</v>
      </c>
      <c r="F80" s="110">
        <f t="shared" ref="F80:F87" si="13">SUM(G80:R80)</f>
        <v>0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</row>
    <row r="81" spans="1:18" outlineLevel="1" x14ac:dyDescent="0.3">
      <c r="A81" s="34" t="s">
        <v>146</v>
      </c>
      <c r="B81" s="108" t="s">
        <v>144</v>
      </c>
      <c r="C81" s="108" t="s">
        <v>15</v>
      </c>
      <c r="D81" s="109">
        <v>5108120</v>
      </c>
      <c r="E81" s="109" t="s">
        <v>145</v>
      </c>
      <c r="F81" s="110">
        <f t="shared" si="13"/>
        <v>0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</row>
    <row r="82" spans="1:18" outlineLevel="1" x14ac:dyDescent="0.3">
      <c r="A82" s="34" t="s">
        <v>147</v>
      </c>
      <c r="B82" s="108" t="s">
        <v>144</v>
      </c>
      <c r="C82" s="108" t="s">
        <v>15</v>
      </c>
      <c r="D82" s="109">
        <v>5108130</v>
      </c>
      <c r="E82" s="109" t="s">
        <v>145</v>
      </c>
      <c r="F82" s="110">
        <f t="shared" si="13"/>
        <v>0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</row>
    <row r="83" spans="1:18" outlineLevel="1" x14ac:dyDescent="0.3">
      <c r="A83" s="34" t="s">
        <v>148</v>
      </c>
      <c r="B83" s="108" t="s">
        <v>144</v>
      </c>
      <c r="C83" s="108" t="s">
        <v>15</v>
      </c>
      <c r="D83" s="109">
        <v>5108140</v>
      </c>
      <c r="E83" s="109" t="s">
        <v>145</v>
      </c>
      <c r="F83" s="110">
        <f t="shared" si="13"/>
        <v>0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</row>
    <row r="84" spans="1:18" outlineLevel="1" x14ac:dyDescent="0.3">
      <c r="A84" s="34" t="s">
        <v>149</v>
      </c>
      <c r="B84" s="108" t="s">
        <v>150</v>
      </c>
      <c r="C84" s="108" t="s">
        <v>15</v>
      </c>
      <c r="D84" s="109">
        <v>5108150</v>
      </c>
      <c r="E84" s="109" t="s">
        <v>151</v>
      </c>
      <c r="F84" s="110">
        <f t="shared" si="13"/>
        <v>0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</row>
    <row r="85" spans="1:18" outlineLevel="1" x14ac:dyDescent="0.3">
      <c r="A85" s="34" t="s">
        <v>152</v>
      </c>
      <c r="B85" s="108" t="s">
        <v>144</v>
      </c>
      <c r="C85" s="108" t="s">
        <v>15</v>
      </c>
      <c r="D85" s="109">
        <v>5108160</v>
      </c>
      <c r="E85" s="109" t="s">
        <v>145</v>
      </c>
      <c r="F85" s="110">
        <f t="shared" si="13"/>
        <v>0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</row>
    <row r="86" spans="1:18" outlineLevel="1" x14ac:dyDescent="0.3">
      <c r="A86" s="34" t="s">
        <v>153</v>
      </c>
      <c r="B86" s="108" t="s">
        <v>153</v>
      </c>
      <c r="C86" s="108" t="s">
        <v>15</v>
      </c>
      <c r="D86" s="109">
        <v>5108161</v>
      </c>
      <c r="E86" s="109" t="s">
        <v>154</v>
      </c>
      <c r="F86" s="110">
        <f t="shared" si="13"/>
        <v>0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</row>
    <row r="87" spans="1:18" outlineLevel="1" x14ac:dyDescent="0.3">
      <c r="A87" s="34" t="s">
        <v>155</v>
      </c>
      <c r="B87" s="108" t="s">
        <v>155</v>
      </c>
      <c r="C87" s="108" t="s">
        <v>15</v>
      </c>
      <c r="D87" s="109">
        <v>5108162</v>
      </c>
      <c r="E87" s="109" t="s">
        <v>156</v>
      </c>
      <c r="F87" s="110">
        <f t="shared" si="13"/>
        <v>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</row>
    <row r="88" spans="1:18" x14ac:dyDescent="0.3">
      <c r="A88" s="26" t="s">
        <v>157</v>
      </c>
      <c r="B88" s="112" t="s">
        <v>7</v>
      </c>
      <c r="C88" s="112"/>
      <c r="D88" s="113"/>
      <c r="E88" s="113"/>
      <c r="F88" s="114">
        <f t="shared" ref="F88:R88" si="14">SUM(F89:F99)</f>
        <v>4617324</v>
      </c>
      <c r="G88" s="114">
        <f t="shared" si="14"/>
        <v>384777</v>
      </c>
      <c r="H88" s="114">
        <f t="shared" si="14"/>
        <v>384777</v>
      </c>
      <c r="I88" s="114">
        <f t="shared" si="14"/>
        <v>384777</v>
      </c>
      <c r="J88" s="114">
        <f t="shared" si="14"/>
        <v>384777</v>
      </c>
      <c r="K88" s="114">
        <f t="shared" si="14"/>
        <v>384777</v>
      </c>
      <c r="L88" s="114">
        <f t="shared" si="14"/>
        <v>384777</v>
      </c>
      <c r="M88" s="114">
        <f t="shared" si="14"/>
        <v>384777</v>
      </c>
      <c r="N88" s="114">
        <f t="shared" si="14"/>
        <v>384777</v>
      </c>
      <c r="O88" s="114">
        <f t="shared" si="14"/>
        <v>384777</v>
      </c>
      <c r="P88" s="114">
        <f t="shared" si="14"/>
        <v>384777</v>
      </c>
      <c r="Q88" s="114">
        <f t="shared" si="14"/>
        <v>384777</v>
      </c>
      <c r="R88" s="114">
        <f t="shared" si="14"/>
        <v>384777</v>
      </c>
    </row>
    <row r="89" spans="1:18" outlineLevel="1" x14ac:dyDescent="0.3">
      <c r="A89" s="34" t="s">
        <v>158</v>
      </c>
      <c r="B89" s="108" t="s">
        <v>159</v>
      </c>
      <c r="C89" s="108" t="s">
        <v>15</v>
      </c>
      <c r="D89" s="109">
        <v>5109110</v>
      </c>
      <c r="E89" s="109" t="s">
        <v>160</v>
      </c>
      <c r="F89" s="110">
        <f t="shared" ref="F89:F99" si="15">SUM(G89:R89)</f>
        <v>0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</row>
    <row r="90" spans="1:18" outlineLevel="1" x14ac:dyDescent="0.3">
      <c r="A90" s="34" t="s">
        <v>161</v>
      </c>
      <c r="B90" s="108" t="s">
        <v>159</v>
      </c>
      <c r="C90" s="108" t="s">
        <v>15</v>
      </c>
      <c r="D90" s="109">
        <v>5109120</v>
      </c>
      <c r="E90" s="109" t="s">
        <v>160</v>
      </c>
      <c r="F90" s="110">
        <f t="shared" si="15"/>
        <v>0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</row>
    <row r="91" spans="1:18" outlineLevel="1" x14ac:dyDescent="0.3">
      <c r="A91" s="34" t="s">
        <v>162</v>
      </c>
      <c r="B91" s="108" t="s">
        <v>159</v>
      </c>
      <c r="C91" s="108" t="s">
        <v>15</v>
      </c>
      <c r="D91" s="109">
        <v>5109130</v>
      </c>
      <c r="E91" s="109" t="s">
        <v>160</v>
      </c>
      <c r="F91" s="110">
        <f t="shared" si="15"/>
        <v>0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</row>
    <row r="92" spans="1:18" outlineLevel="1" x14ac:dyDescent="0.3">
      <c r="A92" s="40" t="s">
        <v>163</v>
      </c>
      <c r="B92" s="108" t="s">
        <v>159</v>
      </c>
      <c r="C92" s="108" t="s">
        <v>15</v>
      </c>
      <c r="D92" s="109">
        <v>5109140</v>
      </c>
      <c r="E92" s="109" t="s">
        <v>160</v>
      </c>
      <c r="F92" s="110">
        <f t="shared" si="15"/>
        <v>0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</row>
    <row r="93" spans="1:18" outlineLevel="1" x14ac:dyDescent="0.3">
      <c r="A93" s="34" t="s">
        <v>164</v>
      </c>
      <c r="B93" s="108" t="s">
        <v>159</v>
      </c>
      <c r="C93" s="108" t="s">
        <v>15</v>
      </c>
      <c r="D93" s="109">
        <v>5109150</v>
      </c>
      <c r="E93" s="109" t="s">
        <v>160</v>
      </c>
      <c r="F93" s="110">
        <f t="shared" si="15"/>
        <v>0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</row>
    <row r="94" spans="1:18" outlineLevel="1" x14ac:dyDescent="0.3">
      <c r="A94" s="34" t="s">
        <v>165</v>
      </c>
      <c r="B94" s="108" t="s">
        <v>159</v>
      </c>
      <c r="C94" s="108" t="s">
        <v>15</v>
      </c>
      <c r="D94" s="109">
        <v>5109160</v>
      </c>
      <c r="E94" s="109" t="s">
        <v>160</v>
      </c>
      <c r="F94" s="110">
        <f t="shared" si="15"/>
        <v>0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</row>
    <row r="95" spans="1:18" s="118" customFormat="1" outlineLevel="1" x14ac:dyDescent="0.3">
      <c r="A95" s="54" t="s">
        <v>166</v>
      </c>
      <c r="B95" s="115" t="s">
        <v>159</v>
      </c>
      <c r="C95" s="115" t="s">
        <v>15</v>
      </c>
      <c r="D95" s="116">
        <v>5109170</v>
      </c>
      <c r="E95" s="116" t="s">
        <v>160</v>
      </c>
      <c r="F95" s="117">
        <f t="shared" si="15"/>
        <v>319908</v>
      </c>
      <c r="G95" s="117">
        <v>26659</v>
      </c>
      <c r="H95" s="117">
        <v>26659</v>
      </c>
      <c r="I95" s="117">
        <v>26659</v>
      </c>
      <c r="J95" s="117">
        <v>26659</v>
      </c>
      <c r="K95" s="117">
        <v>26659</v>
      </c>
      <c r="L95" s="117">
        <v>26659</v>
      </c>
      <c r="M95" s="117">
        <v>26659</v>
      </c>
      <c r="N95" s="117">
        <v>26659</v>
      </c>
      <c r="O95" s="117">
        <v>26659</v>
      </c>
      <c r="P95" s="117">
        <v>26659</v>
      </c>
      <c r="Q95" s="117">
        <v>26659</v>
      </c>
      <c r="R95" s="117">
        <v>26659</v>
      </c>
    </row>
    <row r="96" spans="1:18" s="118" customFormat="1" outlineLevel="1" x14ac:dyDescent="0.3">
      <c r="A96" s="54" t="s">
        <v>167</v>
      </c>
      <c r="B96" s="115" t="s">
        <v>159</v>
      </c>
      <c r="C96" s="115" t="s">
        <v>15</v>
      </c>
      <c r="D96" s="116">
        <v>5109180</v>
      </c>
      <c r="E96" s="116" t="s">
        <v>160</v>
      </c>
      <c r="F96" s="117">
        <f t="shared" si="15"/>
        <v>0</v>
      </c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</row>
    <row r="97" spans="1:18" s="118" customFormat="1" outlineLevel="1" x14ac:dyDescent="0.3">
      <c r="A97" s="54" t="s">
        <v>168</v>
      </c>
      <c r="B97" s="115" t="s">
        <v>159</v>
      </c>
      <c r="C97" s="115" t="s">
        <v>15</v>
      </c>
      <c r="D97" s="116">
        <v>5109190</v>
      </c>
      <c r="E97" s="116" t="s">
        <v>160</v>
      </c>
      <c r="F97" s="117">
        <f t="shared" si="15"/>
        <v>0</v>
      </c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</row>
    <row r="98" spans="1:18" s="118" customFormat="1" outlineLevel="1" x14ac:dyDescent="0.3">
      <c r="A98" s="54" t="s">
        <v>169</v>
      </c>
      <c r="B98" s="115" t="s">
        <v>159</v>
      </c>
      <c r="C98" s="115" t="s">
        <v>15</v>
      </c>
      <c r="D98" s="116">
        <v>5109210</v>
      </c>
      <c r="E98" s="116" t="s">
        <v>160</v>
      </c>
      <c r="F98" s="117">
        <f t="shared" si="15"/>
        <v>0</v>
      </c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</row>
    <row r="99" spans="1:18" s="118" customFormat="1" outlineLevel="1" x14ac:dyDescent="0.3">
      <c r="A99" s="54" t="s">
        <v>170</v>
      </c>
      <c r="B99" s="115" t="s">
        <v>159</v>
      </c>
      <c r="C99" s="115" t="s">
        <v>15</v>
      </c>
      <c r="D99" s="116">
        <v>5109220</v>
      </c>
      <c r="E99" s="116" t="s">
        <v>160</v>
      </c>
      <c r="F99" s="117">
        <f t="shared" si="15"/>
        <v>4297416</v>
      </c>
      <c r="G99" s="117">
        <v>358118</v>
      </c>
      <c r="H99" s="117">
        <v>358118</v>
      </c>
      <c r="I99" s="117">
        <v>358118</v>
      </c>
      <c r="J99" s="117">
        <v>358118</v>
      </c>
      <c r="K99" s="117">
        <v>358118</v>
      </c>
      <c r="L99" s="117">
        <v>358118</v>
      </c>
      <c r="M99" s="117">
        <v>358118</v>
      </c>
      <c r="N99" s="117">
        <v>358118</v>
      </c>
      <c r="O99" s="117">
        <v>358118</v>
      </c>
      <c r="P99" s="117">
        <v>358118</v>
      </c>
      <c r="Q99" s="117">
        <v>358118</v>
      </c>
      <c r="R99" s="117">
        <v>358118</v>
      </c>
    </row>
    <row r="100" spans="1:18" x14ac:dyDescent="0.3">
      <c r="A100" s="26" t="s">
        <v>171</v>
      </c>
      <c r="B100" s="112" t="s">
        <v>7</v>
      </c>
      <c r="C100" s="112"/>
      <c r="D100" s="113"/>
      <c r="E100" s="113"/>
      <c r="F100" s="114">
        <f t="shared" ref="F100:R100" si="16">SUM(F101:F106)</f>
        <v>0</v>
      </c>
      <c r="G100" s="114">
        <f t="shared" si="16"/>
        <v>0</v>
      </c>
      <c r="H100" s="114">
        <f t="shared" si="16"/>
        <v>0</v>
      </c>
      <c r="I100" s="114">
        <f t="shared" si="16"/>
        <v>0</v>
      </c>
      <c r="J100" s="114">
        <f t="shared" si="16"/>
        <v>0</v>
      </c>
      <c r="K100" s="114">
        <f t="shared" si="16"/>
        <v>0</v>
      </c>
      <c r="L100" s="114">
        <f t="shared" si="16"/>
        <v>0</v>
      </c>
      <c r="M100" s="114">
        <f t="shared" si="16"/>
        <v>0</v>
      </c>
      <c r="N100" s="114">
        <f t="shared" si="16"/>
        <v>0</v>
      </c>
      <c r="O100" s="114">
        <f t="shared" si="16"/>
        <v>0</v>
      </c>
      <c r="P100" s="114">
        <f t="shared" si="16"/>
        <v>0</v>
      </c>
      <c r="Q100" s="114">
        <f t="shared" si="16"/>
        <v>0</v>
      </c>
      <c r="R100" s="114">
        <f t="shared" si="16"/>
        <v>0</v>
      </c>
    </row>
    <row r="101" spans="1:18" outlineLevel="1" x14ac:dyDescent="0.3">
      <c r="A101" s="34" t="s">
        <v>172</v>
      </c>
      <c r="B101" s="108" t="s">
        <v>173</v>
      </c>
      <c r="C101" s="108" t="s">
        <v>15</v>
      </c>
      <c r="D101" s="109">
        <v>5110110</v>
      </c>
      <c r="E101" s="109" t="s">
        <v>174</v>
      </c>
      <c r="F101" s="110">
        <f t="shared" ref="F101:F106" si="17">SUM(G101:R101)</f>
        <v>0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</row>
    <row r="102" spans="1:18" outlineLevel="1" x14ac:dyDescent="0.3">
      <c r="A102" s="34" t="s">
        <v>175</v>
      </c>
      <c r="B102" s="108" t="s">
        <v>173</v>
      </c>
      <c r="C102" s="108" t="s">
        <v>15</v>
      </c>
      <c r="D102" s="109">
        <v>5110120</v>
      </c>
      <c r="E102" s="109" t="s">
        <v>174</v>
      </c>
      <c r="F102" s="110">
        <f t="shared" si="17"/>
        <v>0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</row>
    <row r="103" spans="1:18" outlineLevel="1" x14ac:dyDescent="0.3">
      <c r="A103" s="34" t="s">
        <v>176</v>
      </c>
      <c r="B103" s="108" t="s">
        <v>173</v>
      </c>
      <c r="C103" s="108" t="s">
        <v>27</v>
      </c>
      <c r="D103" s="109">
        <v>5110130</v>
      </c>
      <c r="E103" s="109" t="s">
        <v>174</v>
      </c>
      <c r="F103" s="110">
        <f t="shared" si="17"/>
        <v>0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</row>
    <row r="104" spans="1:18" outlineLevel="1" x14ac:dyDescent="0.3">
      <c r="A104" s="34" t="s">
        <v>177</v>
      </c>
      <c r="B104" s="108" t="s">
        <v>173</v>
      </c>
      <c r="C104" s="108" t="s">
        <v>27</v>
      </c>
      <c r="D104" s="109">
        <v>5110140</v>
      </c>
      <c r="E104" s="109" t="s">
        <v>174</v>
      </c>
      <c r="F104" s="110">
        <f t="shared" si="17"/>
        <v>0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</row>
    <row r="105" spans="1:18" outlineLevel="1" x14ac:dyDescent="0.3">
      <c r="A105" s="34" t="s">
        <v>178</v>
      </c>
      <c r="B105" s="108" t="s">
        <v>179</v>
      </c>
      <c r="C105" s="108" t="s">
        <v>15</v>
      </c>
      <c r="D105" s="109">
        <v>5110150</v>
      </c>
      <c r="E105" s="109" t="s">
        <v>180</v>
      </c>
      <c r="F105" s="110">
        <f t="shared" si="17"/>
        <v>0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</row>
    <row r="106" spans="1:18" outlineLevel="1" x14ac:dyDescent="0.3">
      <c r="A106" s="34" t="s">
        <v>181</v>
      </c>
      <c r="B106" s="108" t="s">
        <v>179</v>
      </c>
      <c r="C106" s="108" t="s">
        <v>15</v>
      </c>
      <c r="D106" s="109" t="s">
        <v>182</v>
      </c>
      <c r="E106" s="109"/>
      <c r="F106" s="110">
        <f t="shared" si="17"/>
        <v>0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</row>
    <row r="107" spans="1:18" x14ac:dyDescent="0.3">
      <c r="A107" s="26" t="s">
        <v>183</v>
      </c>
      <c r="B107" s="112" t="s">
        <v>7</v>
      </c>
      <c r="C107" s="112"/>
      <c r="D107" s="113"/>
      <c r="E107" s="113"/>
      <c r="F107" s="114">
        <f t="shared" ref="F107:R107" si="18">SUM(F108:F114)</f>
        <v>0</v>
      </c>
      <c r="G107" s="114">
        <f t="shared" si="18"/>
        <v>0</v>
      </c>
      <c r="H107" s="114">
        <f t="shared" si="18"/>
        <v>0</v>
      </c>
      <c r="I107" s="114">
        <f t="shared" si="18"/>
        <v>0</v>
      </c>
      <c r="J107" s="114">
        <f t="shared" si="18"/>
        <v>0</v>
      </c>
      <c r="K107" s="114">
        <f t="shared" si="18"/>
        <v>0</v>
      </c>
      <c r="L107" s="114">
        <f t="shared" si="18"/>
        <v>0</v>
      </c>
      <c r="M107" s="114">
        <f t="shared" si="18"/>
        <v>0</v>
      </c>
      <c r="N107" s="114">
        <f t="shared" si="18"/>
        <v>0</v>
      </c>
      <c r="O107" s="114">
        <f t="shared" si="18"/>
        <v>0</v>
      </c>
      <c r="P107" s="114">
        <f t="shared" si="18"/>
        <v>0</v>
      </c>
      <c r="Q107" s="114">
        <f t="shared" si="18"/>
        <v>0</v>
      </c>
      <c r="R107" s="114">
        <f t="shared" si="18"/>
        <v>0</v>
      </c>
    </row>
    <row r="108" spans="1:18" outlineLevel="1" x14ac:dyDescent="0.3">
      <c r="A108" s="34" t="s">
        <v>184</v>
      </c>
      <c r="B108" s="108" t="s">
        <v>185</v>
      </c>
      <c r="C108" s="108" t="s">
        <v>15</v>
      </c>
      <c r="D108" s="109">
        <v>5111110</v>
      </c>
      <c r="E108" s="109" t="s">
        <v>186</v>
      </c>
      <c r="F108" s="110">
        <f t="shared" ref="F108:F114" si="19">SUM(G108:R108)</f>
        <v>0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</row>
    <row r="109" spans="1:18" outlineLevel="1" x14ac:dyDescent="0.3">
      <c r="A109" s="34" t="s">
        <v>187</v>
      </c>
      <c r="B109" s="108" t="s">
        <v>185</v>
      </c>
      <c r="C109" s="108" t="s">
        <v>15</v>
      </c>
      <c r="D109" s="109">
        <v>5111120</v>
      </c>
      <c r="E109" s="109" t="s">
        <v>186</v>
      </c>
      <c r="F109" s="110">
        <f t="shared" si="19"/>
        <v>0</v>
      </c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</row>
    <row r="110" spans="1:18" outlineLevel="1" x14ac:dyDescent="0.3">
      <c r="A110" s="34" t="s">
        <v>188</v>
      </c>
      <c r="B110" s="108" t="s">
        <v>185</v>
      </c>
      <c r="C110" s="108" t="s">
        <v>15</v>
      </c>
      <c r="D110" s="109">
        <v>5111130</v>
      </c>
      <c r="E110" s="109" t="s">
        <v>186</v>
      </c>
      <c r="F110" s="110">
        <f t="shared" si="19"/>
        <v>0</v>
      </c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</row>
    <row r="111" spans="1:18" outlineLevel="1" x14ac:dyDescent="0.3">
      <c r="A111" s="34" t="s">
        <v>189</v>
      </c>
      <c r="B111" s="108" t="s">
        <v>185</v>
      </c>
      <c r="C111" s="108" t="s">
        <v>15</v>
      </c>
      <c r="D111" s="109">
        <v>5111140</v>
      </c>
      <c r="E111" s="109" t="s">
        <v>186</v>
      </c>
      <c r="F111" s="110">
        <f t="shared" si="19"/>
        <v>0</v>
      </c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</row>
    <row r="112" spans="1:18" outlineLevel="1" x14ac:dyDescent="0.3">
      <c r="A112" s="34" t="s">
        <v>190</v>
      </c>
      <c r="B112" s="108" t="s">
        <v>185</v>
      </c>
      <c r="C112" s="108" t="s">
        <v>15</v>
      </c>
      <c r="D112" s="109">
        <v>5111150</v>
      </c>
      <c r="E112" s="109" t="s">
        <v>186</v>
      </c>
      <c r="F112" s="110">
        <f t="shared" si="19"/>
        <v>0</v>
      </c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</row>
    <row r="113" spans="1:18" outlineLevel="1" x14ac:dyDescent="0.3">
      <c r="A113" s="34" t="s">
        <v>191</v>
      </c>
      <c r="B113" s="108" t="s">
        <v>185</v>
      </c>
      <c r="C113" s="108" t="s">
        <v>15</v>
      </c>
      <c r="D113" s="109">
        <v>5111160</v>
      </c>
      <c r="E113" s="109" t="s">
        <v>186</v>
      </c>
      <c r="F113" s="110">
        <f t="shared" si="19"/>
        <v>0</v>
      </c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</row>
    <row r="114" spans="1:18" outlineLevel="1" x14ac:dyDescent="0.3">
      <c r="A114" s="34" t="s">
        <v>192</v>
      </c>
      <c r="B114" s="108" t="s">
        <v>185</v>
      </c>
      <c r="C114" s="108" t="s">
        <v>15</v>
      </c>
      <c r="D114" s="109">
        <v>5111141</v>
      </c>
      <c r="E114" s="109" t="s">
        <v>186</v>
      </c>
      <c r="F114" s="110">
        <f t="shared" si="19"/>
        <v>0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</row>
    <row r="115" spans="1:18" x14ac:dyDescent="0.3">
      <c r="A115" s="26" t="s">
        <v>193</v>
      </c>
      <c r="B115" s="112" t="s">
        <v>7</v>
      </c>
      <c r="C115" s="112"/>
      <c r="D115" s="113"/>
      <c r="E115" s="113"/>
      <c r="F115" s="114">
        <f t="shared" ref="F115:R115" si="20">SUM(F116:F117)</f>
        <v>37332</v>
      </c>
      <c r="G115" s="114">
        <f t="shared" si="20"/>
        <v>3111</v>
      </c>
      <c r="H115" s="114">
        <f t="shared" si="20"/>
        <v>3111</v>
      </c>
      <c r="I115" s="114">
        <f t="shared" si="20"/>
        <v>3111</v>
      </c>
      <c r="J115" s="114">
        <f t="shared" si="20"/>
        <v>3111</v>
      </c>
      <c r="K115" s="114">
        <f t="shared" si="20"/>
        <v>3111</v>
      </c>
      <c r="L115" s="114">
        <f t="shared" si="20"/>
        <v>3111</v>
      </c>
      <c r="M115" s="114">
        <f t="shared" si="20"/>
        <v>3111</v>
      </c>
      <c r="N115" s="114">
        <f t="shared" si="20"/>
        <v>3111</v>
      </c>
      <c r="O115" s="114">
        <f t="shared" si="20"/>
        <v>3111</v>
      </c>
      <c r="P115" s="114">
        <f t="shared" si="20"/>
        <v>3111</v>
      </c>
      <c r="Q115" s="114">
        <f t="shared" si="20"/>
        <v>3111</v>
      </c>
      <c r="R115" s="114">
        <f t="shared" si="20"/>
        <v>3111</v>
      </c>
    </row>
    <row r="116" spans="1:18" s="118" customFormat="1" outlineLevel="1" x14ac:dyDescent="0.3">
      <c r="A116" s="54" t="s">
        <v>194</v>
      </c>
      <c r="B116" s="115" t="s">
        <v>195</v>
      </c>
      <c r="C116" s="115" t="s">
        <v>15</v>
      </c>
      <c r="D116" s="116">
        <v>5112110</v>
      </c>
      <c r="E116" s="116" t="s">
        <v>196</v>
      </c>
      <c r="F116" s="117">
        <f>SUM(G116:R116)</f>
        <v>37332</v>
      </c>
      <c r="G116" s="117">
        <v>3111</v>
      </c>
      <c r="H116" s="117">
        <v>3111</v>
      </c>
      <c r="I116" s="117">
        <v>3111</v>
      </c>
      <c r="J116" s="117">
        <v>3111</v>
      </c>
      <c r="K116" s="117">
        <v>3111</v>
      </c>
      <c r="L116" s="117">
        <v>3111</v>
      </c>
      <c r="M116" s="117">
        <v>3111</v>
      </c>
      <c r="N116" s="117">
        <v>3111</v>
      </c>
      <c r="O116" s="117">
        <v>3111</v>
      </c>
      <c r="P116" s="117">
        <v>3111</v>
      </c>
      <c r="Q116" s="117">
        <v>3111</v>
      </c>
      <c r="R116" s="117">
        <v>3111</v>
      </c>
    </row>
    <row r="117" spans="1:18" outlineLevel="1" x14ac:dyDescent="0.3">
      <c r="A117" s="34" t="s">
        <v>197</v>
      </c>
      <c r="B117" s="108" t="s">
        <v>197</v>
      </c>
      <c r="C117" s="108" t="s">
        <v>15</v>
      </c>
      <c r="D117" s="109">
        <v>5112120</v>
      </c>
      <c r="E117" s="109" t="s">
        <v>198</v>
      </c>
      <c r="F117" s="110">
        <f>SUM(G117:R117)</f>
        <v>0</v>
      </c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</row>
    <row r="118" spans="1:18" x14ac:dyDescent="0.3">
      <c r="A118" s="26" t="s">
        <v>199</v>
      </c>
      <c r="B118" s="112" t="s">
        <v>7</v>
      </c>
      <c r="C118" s="112"/>
      <c r="D118" s="113"/>
      <c r="E118" s="113"/>
      <c r="F118" s="114">
        <f t="shared" ref="F118:R118" si="21">SUM(F119:F127)</f>
        <v>512000000</v>
      </c>
      <c r="G118" s="114">
        <f t="shared" si="21"/>
        <v>1000000</v>
      </c>
      <c r="H118" s="114">
        <f t="shared" si="21"/>
        <v>1000000</v>
      </c>
      <c r="I118" s="114">
        <f t="shared" si="21"/>
        <v>126000000</v>
      </c>
      <c r="J118" s="114">
        <f t="shared" si="21"/>
        <v>1000000</v>
      </c>
      <c r="K118" s="114">
        <f t="shared" si="21"/>
        <v>1000000</v>
      </c>
      <c r="L118" s="114">
        <f t="shared" si="21"/>
        <v>126000000</v>
      </c>
      <c r="M118" s="114">
        <f t="shared" si="21"/>
        <v>1000000</v>
      </c>
      <c r="N118" s="114">
        <f t="shared" si="21"/>
        <v>1000000</v>
      </c>
      <c r="O118" s="114">
        <f t="shared" si="21"/>
        <v>126000000</v>
      </c>
      <c r="P118" s="114">
        <f t="shared" si="21"/>
        <v>1000000</v>
      </c>
      <c r="Q118" s="114">
        <f t="shared" si="21"/>
        <v>1000000</v>
      </c>
      <c r="R118" s="114">
        <f t="shared" si="21"/>
        <v>126000000</v>
      </c>
    </row>
    <row r="119" spans="1:18" s="118" customFormat="1" outlineLevel="1" x14ac:dyDescent="0.3">
      <c r="A119" s="54" t="s">
        <v>200</v>
      </c>
      <c r="B119" s="115" t="s">
        <v>201</v>
      </c>
      <c r="C119" s="115" t="s">
        <v>27</v>
      </c>
      <c r="D119" s="116">
        <v>5113110</v>
      </c>
      <c r="E119" s="116" t="s">
        <v>202</v>
      </c>
      <c r="F119" s="117">
        <f t="shared" ref="F119:F127" si="22">SUM(G119:R119)</f>
        <v>512000000</v>
      </c>
      <c r="G119" s="117">
        <v>1000000</v>
      </c>
      <c r="H119" s="117">
        <v>1000000</v>
      </c>
      <c r="I119" s="117">
        <v>126000000</v>
      </c>
      <c r="J119" s="117">
        <v>1000000</v>
      </c>
      <c r="K119" s="117">
        <v>1000000</v>
      </c>
      <c r="L119" s="117">
        <v>126000000</v>
      </c>
      <c r="M119" s="117">
        <v>1000000</v>
      </c>
      <c r="N119" s="117">
        <v>1000000</v>
      </c>
      <c r="O119" s="117">
        <v>126000000</v>
      </c>
      <c r="P119" s="117">
        <v>1000000</v>
      </c>
      <c r="Q119" s="117">
        <v>1000000</v>
      </c>
      <c r="R119" s="117">
        <v>126000000</v>
      </c>
    </row>
    <row r="120" spans="1:18" outlineLevel="1" x14ac:dyDescent="0.3">
      <c r="A120" s="34" t="s">
        <v>203</v>
      </c>
      <c r="B120" s="108" t="s">
        <v>204</v>
      </c>
      <c r="C120" s="108" t="s">
        <v>27</v>
      </c>
      <c r="D120" s="109">
        <v>5113120</v>
      </c>
      <c r="E120" s="109" t="s">
        <v>205</v>
      </c>
      <c r="F120" s="110">
        <f t="shared" si="22"/>
        <v>0</v>
      </c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</row>
    <row r="121" spans="1:18" outlineLevel="1" x14ac:dyDescent="0.3">
      <c r="A121" s="34" t="s">
        <v>206</v>
      </c>
      <c r="B121" s="108" t="s">
        <v>207</v>
      </c>
      <c r="C121" s="108" t="s">
        <v>27</v>
      </c>
      <c r="D121" s="109">
        <v>5113130</v>
      </c>
      <c r="E121" s="109" t="s">
        <v>208</v>
      </c>
      <c r="F121" s="110">
        <f t="shared" si="22"/>
        <v>0</v>
      </c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</row>
    <row r="122" spans="1:18" outlineLevel="1" x14ac:dyDescent="0.3">
      <c r="A122" s="34" t="s">
        <v>209</v>
      </c>
      <c r="B122" s="108" t="s">
        <v>207</v>
      </c>
      <c r="C122" s="108" t="s">
        <v>27</v>
      </c>
      <c r="D122" s="109">
        <v>5113140</v>
      </c>
      <c r="E122" s="109" t="s">
        <v>208</v>
      </c>
      <c r="F122" s="110">
        <f t="shared" si="22"/>
        <v>0</v>
      </c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</row>
    <row r="123" spans="1:18" outlineLevel="1" x14ac:dyDescent="0.3">
      <c r="A123" s="34" t="s">
        <v>210</v>
      </c>
      <c r="B123" s="108" t="s">
        <v>211</v>
      </c>
      <c r="C123" s="108" t="s">
        <v>27</v>
      </c>
      <c r="D123" s="109">
        <v>5113150</v>
      </c>
      <c r="E123" s="109" t="s">
        <v>212</v>
      </c>
      <c r="F123" s="110">
        <f t="shared" si="22"/>
        <v>0</v>
      </c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</row>
    <row r="124" spans="1:18" outlineLevel="1" x14ac:dyDescent="0.3">
      <c r="A124" s="34" t="s">
        <v>213</v>
      </c>
      <c r="B124" s="108" t="s">
        <v>207</v>
      </c>
      <c r="C124" s="108" t="s">
        <v>27</v>
      </c>
      <c r="D124" s="109"/>
      <c r="E124" s="109" t="s">
        <v>208</v>
      </c>
      <c r="F124" s="110">
        <f t="shared" si="22"/>
        <v>0</v>
      </c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</row>
    <row r="125" spans="1:18" outlineLevel="1" x14ac:dyDescent="0.3">
      <c r="A125" s="34" t="s">
        <v>214</v>
      </c>
      <c r="B125" s="108" t="s">
        <v>207</v>
      </c>
      <c r="C125" s="108" t="s">
        <v>27</v>
      </c>
      <c r="D125" s="109">
        <v>5113170</v>
      </c>
      <c r="E125" s="109" t="s">
        <v>208</v>
      </c>
      <c r="F125" s="110">
        <f t="shared" si="22"/>
        <v>0</v>
      </c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</row>
    <row r="126" spans="1:18" outlineLevel="1" x14ac:dyDescent="0.3">
      <c r="A126" s="34" t="s">
        <v>215</v>
      </c>
      <c r="B126" s="108" t="s">
        <v>7</v>
      </c>
      <c r="C126" s="108" t="s">
        <v>27</v>
      </c>
      <c r="D126" s="109">
        <v>5113210</v>
      </c>
      <c r="E126" s="109" t="s">
        <v>202</v>
      </c>
      <c r="F126" s="110">
        <f t="shared" si="22"/>
        <v>0</v>
      </c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</row>
    <row r="127" spans="1:18" outlineLevel="1" x14ac:dyDescent="0.3">
      <c r="A127" s="34" t="s">
        <v>216</v>
      </c>
      <c r="B127" s="115" t="s">
        <v>217</v>
      </c>
      <c r="C127" s="115" t="s">
        <v>27</v>
      </c>
      <c r="D127" s="109">
        <v>5113160</v>
      </c>
      <c r="E127" s="109" t="s">
        <v>208</v>
      </c>
      <c r="F127" s="110">
        <f t="shared" si="22"/>
        <v>0</v>
      </c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</row>
    <row r="128" spans="1:18" x14ac:dyDescent="0.3">
      <c r="A128" s="26" t="s">
        <v>218</v>
      </c>
      <c r="B128" s="112" t="s">
        <v>7</v>
      </c>
      <c r="C128" s="112"/>
      <c r="D128" s="113"/>
      <c r="E128" s="113"/>
      <c r="F128" s="114">
        <f t="shared" ref="F128:R128" si="23">F129</f>
        <v>40000000</v>
      </c>
      <c r="G128" s="114">
        <f t="shared" si="23"/>
        <v>0</v>
      </c>
      <c r="H128" s="114">
        <f t="shared" si="23"/>
        <v>0</v>
      </c>
      <c r="I128" s="114">
        <f t="shared" si="23"/>
        <v>10000000</v>
      </c>
      <c r="J128" s="114">
        <f t="shared" si="23"/>
        <v>0</v>
      </c>
      <c r="K128" s="114">
        <f t="shared" si="23"/>
        <v>0</v>
      </c>
      <c r="L128" s="114">
        <f t="shared" si="23"/>
        <v>10000000</v>
      </c>
      <c r="M128" s="114">
        <f t="shared" si="23"/>
        <v>0</v>
      </c>
      <c r="N128" s="114">
        <f t="shared" si="23"/>
        <v>0</v>
      </c>
      <c r="O128" s="114">
        <f t="shared" si="23"/>
        <v>10000000</v>
      </c>
      <c r="P128" s="114">
        <f t="shared" si="23"/>
        <v>0</v>
      </c>
      <c r="Q128" s="114">
        <f t="shared" si="23"/>
        <v>0</v>
      </c>
      <c r="R128" s="114">
        <f t="shared" si="23"/>
        <v>10000000</v>
      </c>
    </row>
    <row r="129" spans="1:18" s="118" customFormat="1" outlineLevel="1" x14ac:dyDescent="0.3">
      <c r="A129" s="54" t="s">
        <v>219</v>
      </c>
      <c r="B129" s="115" t="s">
        <v>220</v>
      </c>
      <c r="C129" s="115" t="s">
        <v>15</v>
      </c>
      <c r="D129" s="116">
        <v>5115110</v>
      </c>
      <c r="E129" s="116" t="s">
        <v>221</v>
      </c>
      <c r="F129" s="117">
        <f>SUM(G129:R129)</f>
        <v>40000000</v>
      </c>
      <c r="G129" s="117">
        <v>0</v>
      </c>
      <c r="H129" s="117">
        <v>0</v>
      </c>
      <c r="I129" s="117">
        <v>10000000</v>
      </c>
      <c r="J129" s="117">
        <v>0</v>
      </c>
      <c r="K129" s="117">
        <v>0</v>
      </c>
      <c r="L129" s="117">
        <v>10000000</v>
      </c>
      <c r="M129" s="117">
        <v>0</v>
      </c>
      <c r="N129" s="117">
        <v>0</v>
      </c>
      <c r="O129" s="117">
        <v>10000000</v>
      </c>
      <c r="P129" s="117">
        <v>0</v>
      </c>
      <c r="Q129" s="117">
        <v>0</v>
      </c>
      <c r="R129" s="117">
        <v>10000000</v>
      </c>
    </row>
    <row r="130" spans="1:18" x14ac:dyDescent="0.3">
      <c r="A130" s="26" t="s">
        <v>222</v>
      </c>
      <c r="B130" s="112" t="s">
        <v>7</v>
      </c>
      <c r="C130" s="112"/>
      <c r="D130" s="113"/>
      <c r="E130" s="113"/>
      <c r="F130" s="114">
        <f t="shared" ref="F130:R130" si="24">SUM(F131:F137)</f>
        <v>0</v>
      </c>
      <c r="G130" s="114">
        <f t="shared" si="24"/>
        <v>0</v>
      </c>
      <c r="H130" s="114">
        <f t="shared" si="24"/>
        <v>0</v>
      </c>
      <c r="I130" s="114">
        <f t="shared" si="24"/>
        <v>0</v>
      </c>
      <c r="J130" s="114">
        <f t="shared" si="24"/>
        <v>0</v>
      </c>
      <c r="K130" s="114">
        <f t="shared" si="24"/>
        <v>0</v>
      </c>
      <c r="L130" s="114">
        <f t="shared" si="24"/>
        <v>0</v>
      </c>
      <c r="M130" s="114">
        <f t="shared" si="24"/>
        <v>0</v>
      </c>
      <c r="N130" s="114">
        <f t="shared" si="24"/>
        <v>0</v>
      </c>
      <c r="O130" s="114">
        <f t="shared" si="24"/>
        <v>0</v>
      </c>
      <c r="P130" s="114">
        <f t="shared" si="24"/>
        <v>0</v>
      </c>
      <c r="Q130" s="114">
        <f t="shared" si="24"/>
        <v>0</v>
      </c>
      <c r="R130" s="114">
        <f t="shared" si="24"/>
        <v>0</v>
      </c>
    </row>
    <row r="131" spans="1:18" outlineLevel="1" x14ac:dyDescent="0.3">
      <c r="A131" s="34" t="s">
        <v>223</v>
      </c>
      <c r="B131" s="108" t="s">
        <v>224</v>
      </c>
      <c r="C131" s="108" t="s">
        <v>15</v>
      </c>
      <c r="D131" s="109">
        <v>5116110</v>
      </c>
      <c r="E131" s="109" t="s">
        <v>225</v>
      </c>
      <c r="F131" s="110">
        <f t="shared" ref="F131:F137" si="25">SUM(G131:R131)</f>
        <v>0</v>
      </c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</row>
    <row r="132" spans="1:18" outlineLevel="1" x14ac:dyDescent="0.3">
      <c r="A132" s="34" t="s">
        <v>226</v>
      </c>
      <c r="B132" s="108" t="s">
        <v>224</v>
      </c>
      <c r="C132" s="108" t="s">
        <v>15</v>
      </c>
      <c r="D132" s="109">
        <v>5116120</v>
      </c>
      <c r="E132" s="109" t="s">
        <v>225</v>
      </c>
      <c r="F132" s="110">
        <f t="shared" si="25"/>
        <v>0</v>
      </c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</row>
    <row r="133" spans="1:18" outlineLevel="1" x14ac:dyDescent="0.3">
      <c r="A133" s="34" t="s">
        <v>227</v>
      </c>
      <c r="B133" s="108" t="s">
        <v>228</v>
      </c>
      <c r="C133" s="108" t="s">
        <v>15</v>
      </c>
      <c r="D133" s="109">
        <v>5116130</v>
      </c>
      <c r="E133" s="109" t="s">
        <v>229</v>
      </c>
      <c r="F133" s="110">
        <f t="shared" si="25"/>
        <v>0</v>
      </c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</row>
    <row r="134" spans="1:18" outlineLevel="1" x14ac:dyDescent="0.3">
      <c r="A134" s="34" t="s">
        <v>230</v>
      </c>
      <c r="B134" s="108" t="s">
        <v>224</v>
      </c>
      <c r="C134" s="108" t="s">
        <v>15</v>
      </c>
      <c r="D134" s="109">
        <v>5116140</v>
      </c>
      <c r="E134" s="109" t="s">
        <v>225</v>
      </c>
      <c r="F134" s="110">
        <f t="shared" si="25"/>
        <v>0</v>
      </c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</row>
    <row r="135" spans="1:18" outlineLevel="1" x14ac:dyDescent="0.3">
      <c r="A135" s="34" t="s">
        <v>231</v>
      </c>
      <c r="B135" s="108" t="s">
        <v>228</v>
      </c>
      <c r="C135" s="108" t="s">
        <v>15</v>
      </c>
      <c r="D135" s="109">
        <v>5116150</v>
      </c>
      <c r="E135" s="109" t="s">
        <v>229</v>
      </c>
      <c r="F135" s="110">
        <f t="shared" si="25"/>
        <v>0</v>
      </c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</row>
    <row r="136" spans="1:18" outlineLevel="1" x14ac:dyDescent="0.3">
      <c r="A136" s="34" t="s">
        <v>232</v>
      </c>
      <c r="B136" s="108" t="s">
        <v>224</v>
      </c>
      <c r="C136" s="108" t="s">
        <v>15</v>
      </c>
      <c r="D136" s="109">
        <v>5116160</v>
      </c>
      <c r="E136" s="109" t="s">
        <v>225</v>
      </c>
      <c r="F136" s="110">
        <f t="shared" si="25"/>
        <v>0</v>
      </c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</row>
    <row r="137" spans="1:18" outlineLevel="1" x14ac:dyDescent="0.3">
      <c r="A137" s="34" t="s">
        <v>233</v>
      </c>
      <c r="B137" s="108" t="s">
        <v>224</v>
      </c>
      <c r="C137" s="108" t="s">
        <v>15</v>
      </c>
      <c r="D137" s="109">
        <v>5116111</v>
      </c>
      <c r="E137" s="109" t="s">
        <v>225</v>
      </c>
      <c r="F137" s="110">
        <f t="shared" si="25"/>
        <v>0</v>
      </c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</row>
    <row r="138" spans="1:18" x14ac:dyDescent="0.3">
      <c r="A138" s="26" t="s">
        <v>234</v>
      </c>
      <c r="B138" s="112" t="s">
        <v>7</v>
      </c>
      <c r="C138" s="112"/>
      <c r="D138" s="113"/>
      <c r="E138" s="113"/>
      <c r="F138" s="114">
        <f t="shared" ref="F138:R138" si="26">F139</f>
        <v>0</v>
      </c>
      <c r="G138" s="114">
        <f t="shared" si="26"/>
        <v>0</v>
      </c>
      <c r="H138" s="114">
        <f t="shared" si="26"/>
        <v>0</v>
      </c>
      <c r="I138" s="114">
        <f t="shared" si="26"/>
        <v>0</v>
      </c>
      <c r="J138" s="114">
        <f t="shared" si="26"/>
        <v>0</v>
      </c>
      <c r="K138" s="114">
        <f t="shared" si="26"/>
        <v>0</v>
      </c>
      <c r="L138" s="114">
        <f t="shared" si="26"/>
        <v>0</v>
      </c>
      <c r="M138" s="114">
        <f t="shared" si="26"/>
        <v>0</v>
      </c>
      <c r="N138" s="114">
        <f t="shared" si="26"/>
        <v>0</v>
      </c>
      <c r="O138" s="114">
        <f t="shared" si="26"/>
        <v>0</v>
      </c>
      <c r="P138" s="114">
        <f t="shared" si="26"/>
        <v>0</v>
      </c>
      <c r="Q138" s="114">
        <f t="shared" si="26"/>
        <v>0</v>
      </c>
      <c r="R138" s="114">
        <f t="shared" si="26"/>
        <v>0</v>
      </c>
    </row>
    <row r="139" spans="1:18" outlineLevel="1" x14ac:dyDescent="0.3">
      <c r="A139" s="34" t="s">
        <v>235</v>
      </c>
      <c r="B139" s="108" t="s">
        <v>236</v>
      </c>
      <c r="C139" s="108" t="s">
        <v>15</v>
      </c>
      <c r="D139" s="109">
        <v>5117110</v>
      </c>
      <c r="E139" s="109" t="s">
        <v>237</v>
      </c>
      <c r="F139" s="110">
        <f>SUM(G139:R139)</f>
        <v>0</v>
      </c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</row>
    <row r="140" spans="1:18" x14ac:dyDescent="0.3">
      <c r="A140" s="26" t="s">
        <v>238</v>
      </c>
      <c r="B140" s="112" t="s">
        <v>7</v>
      </c>
      <c r="C140" s="112"/>
      <c r="D140" s="113"/>
      <c r="E140" s="113"/>
      <c r="F140" s="114">
        <f t="shared" ref="F140:R140" si="27">SUM(F141:F145)</f>
        <v>6000000</v>
      </c>
      <c r="G140" s="114">
        <f t="shared" si="27"/>
        <v>500000</v>
      </c>
      <c r="H140" s="114">
        <f t="shared" si="27"/>
        <v>500000</v>
      </c>
      <c r="I140" s="114">
        <f t="shared" si="27"/>
        <v>500000</v>
      </c>
      <c r="J140" s="114">
        <f t="shared" si="27"/>
        <v>500000</v>
      </c>
      <c r="K140" s="114">
        <f t="shared" si="27"/>
        <v>500000</v>
      </c>
      <c r="L140" s="114">
        <f t="shared" si="27"/>
        <v>500000</v>
      </c>
      <c r="M140" s="114">
        <f t="shared" si="27"/>
        <v>500000</v>
      </c>
      <c r="N140" s="114">
        <f t="shared" si="27"/>
        <v>500000</v>
      </c>
      <c r="O140" s="114">
        <f t="shared" si="27"/>
        <v>500000</v>
      </c>
      <c r="P140" s="114">
        <f t="shared" si="27"/>
        <v>500000</v>
      </c>
      <c r="Q140" s="114">
        <f t="shared" si="27"/>
        <v>500000</v>
      </c>
      <c r="R140" s="114">
        <f t="shared" si="27"/>
        <v>500000</v>
      </c>
    </row>
    <row r="141" spans="1:18" outlineLevel="1" x14ac:dyDescent="0.3">
      <c r="A141" s="34" t="s">
        <v>239</v>
      </c>
      <c r="B141" s="108" t="s">
        <v>240</v>
      </c>
      <c r="C141" s="108" t="s">
        <v>15</v>
      </c>
      <c r="D141" s="109">
        <v>5118110</v>
      </c>
      <c r="E141" s="109" t="s">
        <v>241</v>
      </c>
      <c r="F141" s="110">
        <f>SUM(G141:R141)</f>
        <v>0</v>
      </c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</row>
    <row r="142" spans="1:18" outlineLevel="1" x14ac:dyDescent="0.3">
      <c r="A142" s="34" t="s">
        <v>242</v>
      </c>
      <c r="B142" s="108" t="s">
        <v>243</v>
      </c>
      <c r="C142" s="108" t="s">
        <v>15</v>
      </c>
      <c r="D142" s="109">
        <v>5118120</v>
      </c>
      <c r="E142" s="109" t="s">
        <v>244</v>
      </c>
      <c r="F142" s="110">
        <f>SUM(G142:R142)</f>
        <v>0</v>
      </c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</row>
    <row r="143" spans="1:18" s="118" customFormat="1" outlineLevel="1" x14ac:dyDescent="0.3">
      <c r="A143" s="54" t="s">
        <v>245</v>
      </c>
      <c r="B143" s="115" t="s">
        <v>246</v>
      </c>
      <c r="C143" s="115" t="s">
        <v>15</v>
      </c>
      <c r="D143" s="116">
        <v>5118130</v>
      </c>
      <c r="E143" s="116" t="s">
        <v>247</v>
      </c>
      <c r="F143" s="117">
        <f>SUM(G143:R143)</f>
        <v>6000000</v>
      </c>
      <c r="G143" s="117">
        <v>500000</v>
      </c>
      <c r="H143" s="117">
        <v>500000</v>
      </c>
      <c r="I143" s="117">
        <v>500000</v>
      </c>
      <c r="J143" s="117">
        <v>500000</v>
      </c>
      <c r="K143" s="117">
        <v>500000</v>
      </c>
      <c r="L143" s="117">
        <v>500000</v>
      </c>
      <c r="M143" s="117">
        <v>500000</v>
      </c>
      <c r="N143" s="117">
        <v>500000</v>
      </c>
      <c r="O143" s="117">
        <v>500000</v>
      </c>
      <c r="P143" s="117">
        <v>500000</v>
      </c>
      <c r="Q143" s="117">
        <v>500000</v>
      </c>
      <c r="R143" s="117">
        <v>500000</v>
      </c>
    </row>
    <row r="144" spans="1:18" outlineLevel="1" x14ac:dyDescent="0.3">
      <c r="A144" s="34" t="s">
        <v>248</v>
      </c>
      <c r="B144" s="108" t="s">
        <v>7</v>
      </c>
      <c r="C144" s="108" t="s">
        <v>15</v>
      </c>
      <c r="D144" s="109">
        <v>5118140</v>
      </c>
      <c r="E144" s="109" t="s">
        <v>249</v>
      </c>
      <c r="F144" s="110">
        <f>SUM(G144:R144)</f>
        <v>0</v>
      </c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</row>
    <row r="145" spans="1:18" outlineLevel="1" x14ac:dyDescent="0.3">
      <c r="A145" s="34" t="s">
        <v>250</v>
      </c>
      <c r="B145" s="108" t="s">
        <v>7</v>
      </c>
      <c r="C145" s="108" t="s">
        <v>15</v>
      </c>
      <c r="D145" s="109">
        <v>5118150</v>
      </c>
      <c r="E145" s="109" t="s">
        <v>251</v>
      </c>
      <c r="F145" s="110">
        <f>SUM(G145:R145)</f>
        <v>0</v>
      </c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</row>
    <row r="146" spans="1:18" x14ac:dyDescent="0.3">
      <c r="A146" s="26" t="s">
        <v>252</v>
      </c>
      <c r="B146" s="112" t="s">
        <v>7</v>
      </c>
      <c r="C146" s="112"/>
      <c r="D146" s="113"/>
      <c r="E146" s="113"/>
      <c r="F146" s="114">
        <f t="shared" ref="F146:R146" si="28">SUM(F147:F148)</f>
        <v>5664000</v>
      </c>
      <c r="G146" s="114">
        <f t="shared" si="28"/>
        <v>472000</v>
      </c>
      <c r="H146" s="114">
        <f t="shared" si="28"/>
        <v>472000</v>
      </c>
      <c r="I146" s="114">
        <f t="shared" si="28"/>
        <v>472000</v>
      </c>
      <c r="J146" s="114">
        <f t="shared" si="28"/>
        <v>472000</v>
      </c>
      <c r="K146" s="114">
        <f t="shared" si="28"/>
        <v>472000</v>
      </c>
      <c r="L146" s="114">
        <f t="shared" si="28"/>
        <v>472000</v>
      </c>
      <c r="M146" s="114">
        <f t="shared" si="28"/>
        <v>472000</v>
      </c>
      <c r="N146" s="114">
        <f t="shared" si="28"/>
        <v>472000</v>
      </c>
      <c r="O146" s="114">
        <f t="shared" si="28"/>
        <v>472000</v>
      </c>
      <c r="P146" s="114">
        <f t="shared" si="28"/>
        <v>472000</v>
      </c>
      <c r="Q146" s="114">
        <f t="shared" si="28"/>
        <v>472000</v>
      </c>
      <c r="R146" s="114">
        <f t="shared" si="28"/>
        <v>472000</v>
      </c>
    </row>
    <row r="147" spans="1:18" s="118" customFormat="1" outlineLevel="1" x14ac:dyDescent="0.3">
      <c r="A147" s="54" t="s">
        <v>253</v>
      </c>
      <c r="B147" s="115" t="s">
        <v>254</v>
      </c>
      <c r="C147" s="115" t="s">
        <v>15</v>
      </c>
      <c r="D147" s="116">
        <v>5130110</v>
      </c>
      <c r="E147" s="116" t="s">
        <v>249</v>
      </c>
      <c r="F147" s="117">
        <f>SUM(G147:R147)</f>
        <v>4800000</v>
      </c>
      <c r="G147" s="117">
        <v>400000</v>
      </c>
      <c r="H147" s="117">
        <v>400000</v>
      </c>
      <c r="I147" s="117">
        <v>400000</v>
      </c>
      <c r="J147" s="117">
        <v>400000</v>
      </c>
      <c r="K147" s="117">
        <v>400000</v>
      </c>
      <c r="L147" s="117">
        <v>400000</v>
      </c>
      <c r="M147" s="117">
        <v>400000</v>
      </c>
      <c r="N147" s="117">
        <v>400000</v>
      </c>
      <c r="O147" s="117">
        <v>400000</v>
      </c>
      <c r="P147" s="117">
        <v>400000</v>
      </c>
      <c r="Q147" s="117">
        <v>400000</v>
      </c>
      <c r="R147" s="117">
        <v>400000</v>
      </c>
    </row>
    <row r="148" spans="1:18" s="118" customFormat="1" outlineLevel="1" x14ac:dyDescent="0.3">
      <c r="A148" s="54" t="s">
        <v>255</v>
      </c>
      <c r="B148" s="115" t="s">
        <v>256</v>
      </c>
      <c r="C148" s="115" t="s">
        <v>15</v>
      </c>
      <c r="D148" s="116">
        <v>5130120</v>
      </c>
      <c r="E148" s="116" t="s">
        <v>251</v>
      </c>
      <c r="F148" s="117">
        <f>SUM(G148:R148)</f>
        <v>864000</v>
      </c>
      <c r="G148" s="117">
        <v>72000</v>
      </c>
      <c r="H148" s="117">
        <v>72000</v>
      </c>
      <c r="I148" s="117">
        <v>72000</v>
      </c>
      <c r="J148" s="117">
        <v>72000</v>
      </c>
      <c r="K148" s="117">
        <v>72000</v>
      </c>
      <c r="L148" s="117">
        <v>72000</v>
      </c>
      <c r="M148" s="117">
        <v>72000</v>
      </c>
      <c r="N148" s="117">
        <v>72000</v>
      </c>
      <c r="O148" s="117">
        <v>72000</v>
      </c>
      <c r="P148" s="117">
        <v>72000</v>
      </c>
      <c r="Q148" s="117">
        <v>72000</v>
      </c>
      <c r="R148" s="117">
        <v>72000</v>
      </c>
    </row>
    <row r="149" spans="1:18" x14ac:dyDescent="0.3">
      <c r="A149" s="26" t="s">
        <v>257</v>
      </c>
      <c r="B149" s="112" t="s">
        <v>7</v>
      </c>
      <c r="C149" s="112"/>
      <c r="D149" s="113"/>
      <c r="E149" s="113"/>
      <c r="F149" s="114">
        <f t="shared" ref="F149:R149" si="29">SUM(F150:F157)</f>
        <v>4200000</v>
      </c>
      <c r="G149" s="114">
        <f t="shared" si="29"/>
        <v>250000</v>
      </c>
      <c r="H149" s="114">
        <f t="shared" si="29"/>
        <v>250000</v>
      </c>
      <c r="I149" s="114">
        <f t="shared" si="29"/>
        <v>550000</v>
      </c>
      <c r="J149" s="114">
        <f t="shared" si="29"/>
        <v>250000</v>
      </c>
      <c r="K149" s="114">
        <f t="shared" si="29"/>
        <v>250000</v>
      </c>
      <c r="L149" s="114">
        <f t="shared" si="29"/>
        <v>550000</v>
      </c>
      <c r="M149" s="114">
        <f t="shared" si="29"/>
        <v>250000</v>
      </c>
      <c r="N149" s="114">
        <f t="shared" si="29"/>
        <v>250000</v>
      </c>
      <c r="O149" s="114">
        <f t="shared" si="29"/>
        <v>550000</v>
      </c>
      <c r="P149" s="114">
        <f t="shared" si="29"/>
        <v>250000</v>
      </c>
      <c r="Q149" s="114">
        <f t="shared" si="29"/>
        <v>250000</v>
      </c>
      <c r="R149" s="114">
        <f t="shared" si="29"/>
        <v>550000</v>
      </c>
    </row>
    <row r="150" spans="1:18" s="118" customFormat="1" ht="15.75" customHeight="1" outlineLevel="1" x14ac:dyDescent="0.3">
      <c r="A150" s="54" t="s">
        <v>258</v>
      </c>
      <c r="B150" s="115" t="s">
        <v>259</v>
      </c>
      <c r="C150" s="115" t="s">
        <v>15</v>
      </c>
      <c r="D150" s="116">
        <v>5119110</v>
      </c>
      <c r="E150" s="116" t="s">
        <v>260</v>
      </c>
      <c r="F150" s="117">
        <f t="shared" ref="F150:F157" si="30">SUM(G150:R150)</f>
        <v>1800000</v>
      </c>
      <c r="G150" s="117">
        <v>150000</v>
      </c>
      <c r="H150" s="117">
        <v>150000</v>
      </c>
      <c r="I150" s="117">
        <v>150000</v>
      </c>
      <c r="J150" s="117">
        <v>150000</v>
      </c>
      <c r="K150" s="117">
        <v>150000</v>
      </c>
      <c r="L150" s="117">
        <v>150000</v>
      </c>
      <c r="M150" s="117">
        <v>150000</v>
      </c>
      <c r="N150" s="117">
        <v>150000</v>
      </c>
      <c r="O150" s="117">
        <v>150000</v>
      </c>
      <c r="P150" s="117">
        <v>150000</v>
      </c>
      <c r="Q150" s="117">
        <v>150000</v>
      </c>
      <c r="R150" s="117">
        <v>150000</v>
      </c>
    </row>
    <row r="151" spans="1:18" s="118" customFormat="1" outlineLevel="1" x14ac:dyDescent="0.3">
      <c r="A151" s="54" t="s">
        <v>261</v>
      </c>
      <c r="B151" s="115" t="s">
        <v>262</v>
      </c>
      <c r="C151" s="115" t="s">
        <v>15</v>
      </c>
      <c r="D151" s="116">
        <v>5119120</v>
      </c>
      <c r="E151" s="116" t="s">
        <v>263</v>
      </c>
      <c r="F151" s="117">
        <f t="shared" si="30"/>
        <v>0</v>
      </c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</row>
    <row r="152" spans="1:18" s="118" customFormat="1" outlineLevel="1" x14ac:dyDescent="0.3">
      <c r="A152" s="54" t="s">
        <v>264</v>
      </c>
      <c r="B152" s="115" t="s">
        <v>265</v>
      </c>
      <c r="C152" s="115" t="s">
        <v>15</v>
      </c>
      <c r="D152" s="116">
        <v>5119130</v>
      </c>
      <c r="E152" s="116" t="s">
        <v>266</v>
      </c>
      <c r="F152" s="117">
        <f t="shared" si="30"/>
        <v>0</v>
      </c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</row>
    <row r="153" spans="1:18" s="118" customFormat="1" outlineLevel="1" x14ac:dyDescent="0.3">
      <c r="A153" s="54" t="s">
        <v>267</v>
      </c>
      <c r="B153" s="115" t="s">
        <v>268</v>
      </c>
      <c r="C153" s="115" t="s">
        <v>15</v>
      </c>
      <c r="D153" s="116">
        <v>5119140</v>
      </c>
      <c r="E153" s="116" t="s">
        <v>269</v>
      </c>
      <c r="F153" s="117">
        <f t="shared" si="30"/>
        <v>0</v>
      </c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</row>
    <row r="154" spans="1:18" s="118" customFormat="1" outlineLevel="1" x14ac:dyDescent="0.3">
      <c r="A154" s="54" t="s">
        <v>270</v>
      </c>
      <c r="B154" s="115" t="s">
        <v>271</v>
      </c>
      <c r="C154" s="115" t="s">
        <v>15</v>
      </c>
      <c r="D154" s="116">
        <v>5119150</v>
      </c>
      <c r="E154" s="116" t="s">
        <v>272</v>
      </c>
      <c r="F154" s="117">
        <f t="shared" si="30"/>
        <v>1200000</v>
      </c>
      <c r="G154" s="117">
        <v>100000</v>
      </c>
      <c r="H154" s="117">
        <v>100000</v>
      </c>
      <c r="I154" s="117">
        <v>100000</v>
      </c>
      <c r="J154" s="117">
        <v>100000</v>
      </c>
      <c r="K154" s="117">
        <v>100000</v>
      </c>
      <c r="L154" s="117">
        <v>100000</v>
      </c>
      <c r="M154" s="117">
        <v>100000</v>
      </c>
      <c r="N154" s="117">
        <v>100000</v>
      </c>
      <c r="O154" s="117">
        <v>100000</v>
      </c>
      <c r="P154" s="117">
        <v>100000</v>
      </c>
      <c r="Q154" s="117">
        <v>100000</v>
      </c>
      <c r="R154" s="117">
        <v>100000</v>
      </c>
    </row>
    <row r="155" spans="1:18" outlineLevel="1" x14ac:dyDescent="0.3">
      <c r="A155" s="34" t="s">
        <v>273</v>
      </c>
      <c r="B155" s="108" t="s">
        <v>274</v>
      </c>
      <c r="C155" s="108" t="s">
        <v>15</v>
      </c>
      <c r="D155" s="109">
        <v>5119160</v>
      </c>
      <c r="E155" s="109" t="s">
        <v>275</v>
      </c>
      <c r="F155" s="110">
        <f t="shared" si="30"/>
        <v>0</v>
      </c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</row>
    <row r="156" spans="1:18" outlineLevel="1" x14ac:dyDescent="0.3">
      <c r="A156" s="34" t="s">
        <v>276</v>
      </c>
      <c r="B156" s="108" t="s">
        <v>276</v>
      </c>
      <c r="C156" s="108" t="s">
        <v>15</v>
      </c>
      <c r="D156" s="109">
        <v>5119121</v>
      </c>
      <c r="E156" s="109" t="s">
        <v>277</v>
      </c>
      <c r="F156" s="110">
        <f t="shared" si="30"/>
        <v>0</v>
      </c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</row>
    <row r="157" spans="1:18" outlineLevel="1" x14ac:dyDescent="0.3">
      <c r="A157" s="34" t="s">
        <v>278</v>
      </c>
      <c r="B157" s="115" t="s">
        <v>279</v>
      </c>
      <c r="C157" s="115" t="s">
        <v>15</v>
      </c>
      <c r="D157" s="109">
        <v>5119151</v>
      </c>
      <c r="E157" s="109" t="s">
        <v>272</v>
      </c>
      <c r="F157" s="110">
        <f t="shared" si="30"/>
        <v>1200000</v>
      </c>
      <c r="G157" s="110">
        <v>0</v>
      </c>
      <c r="H157" s="110">
        <v>0</v>
      </c>
      <c r="I157" s="110">
        <v>300000</v>
      </c>
      <c r="J157" s="110">
        <v>0</v>
      </c>
      <c r="K157" s="110">
        <v>0</v>
      </c>
      <c r="L157" s="110">
        <v>300000</v>
      </c>
      <c r="M157" s="110">
        <v>0</v>
      </c>
      <c r="N157" s="110">
        <v>0</v>
      </c>
      <c r="O157" s="110">
        <v>300000</v>
      </c>
      <c r="P157" s="110">
        <v>0</v>
      </c>
      <c r="Q157" s="110">
        <v>0</v>
      </c>
      <c r="R157" s="110">
        <v>300000</v>
      </c>
    </row>
    <row r="158" spans="1:18" x14ac:dyDescent="0.3">
      <c r="A158" s="26" t="s">
        <v>280</v>
      </c>
      <c r="B158" s="112" t="s">
        <v>7</v>
      </c>
      <c r="C158" s="112"/>
      <c r="D158" s="113"/>
      <c r="E158" s="113"/>
      <c r="F158" s="114">
        <f t="shared" ref="F158:R158" si="31">SUM(F159:F162)</f>
        <v>4000000</v>
      </c>
      <c r="G158" s="114">
        <f t="shared" si="31"/>
        <v>0</v>
      </c>
      <c r="H158" s="114">
        <f t="shared" si="31"/>
        <v>0</v>
      </c>
      <c r="I158" s="114">
        <f t="shared" si="31"/>
        <v>1000000</v>
      </c>
      <c r="J158" s="114">
        <f t="shared" si="31"/>
        <v>0</v>
      </c>
      <c r="K158" s="114">
        <f t="shared" si="31"/>
        <v>0</v>
      </c>
      <c r="L158" s="114">
        <f t="shared" si="31"/>
        <v>1000000</v>
      </c>
      <c r="M158" s="114">
        <f t="shared" si="31"/>
        <v>0</v>
      </c>
      <c r="N158" s="114">
        <f t="shared" si="31"/>
        <v>0</v>
      </c>
      <c r="O158" s="114">
        <f t="shared" si="31"/>
        <v>1000000</v>
      </c>
      <c r="P158" s="114">
        <f t="shared" si="31"/>
        <v>0</v>
      </c>
      <c r="Q158" s="114">
        <f t="shared" si="31"/>
        <v>0</v>
      </c>
      <c r="R158" s="114">
        <f t="shared" si="31"/>
        <v>1000000</v>
      </c>
    </row>
    <row r="159" spans="1:18" outlineLevel="1" x14ac:dyDescent="0.3">
      <c r="A159" s="34" t="s">
        <v>281</v>
      </c>
      <c r="B159" s="108" t="s">
        <v>282</v>
      </c>
      <c r="C159" s="108" t="s">
        <v>27</v>
      </c>
      <c r="D159" s="109">
        <v>5120110</v>
      </c>
      <c r="E159" s="109" t="s">
        <v>283</v>
      </c>
      <c r="F159" s="110">
        <f>SUM(G159:R159)</f>
        <v>0</v>
      </c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1:18" s="118" customFormat="1" outlineLevel="1" x14ac:dyDescent="0.3">
      <c r="A160" s="120" t="s">
        <v>284</v>
      </c>
      <c r="B160" s="115" t="s">
        <v>282</v>
      </c>
      <c r="C160" s="115" t="s">
        <v>27</v>
      </c>
      <c r="D160" s="116">
        <v>5120140</v>
      </c>
      <c r="E160" s="116" t="s">
        <v>283</v>
      </c>
      <c r="F160" s="117">
        <f>SUM(G160:R160)</f>
        <v>4000000</v>
      </c>
      <c r="G160" s="117">
        <v>0</v>
      </c>
      <c r="H160" s="117">
        <v>0</v>
      </c>
      <c r="I160" s="117">
        <v>1000000</v>
      </c>
      <c r="J160" s="117">
        <v>0</v>
      </c>
      <c r="K160" s="117">
        <v>0</v>
      </c>
      <c r="L160" s="117">
        <v>1000000</v>
      </c>
      <c r="M160" s="117">
        <v>0</v>
      </c>
      <c r="N160" s="117">
        <v>0</v>
      </c>
      <c r="O160" s="117">
        <v>1000000</v>
      </c>
      <c r="P160" s="117">
        <v>0</v>
      </c>
      <c r="Q160" s="117">
        <v>0</v>
      </c>
      <c r="R160" s="117">
        <v>1000000</v>
      </c>
    </row>
    <row r="161" spans="1:18" outlineLevel="1" x14ac:dyDescent="0.3">
      <c r="A161" s="40" t="s">
        <v>285</v>
      </c>
      <c r="B161" s="108" t="s">
        <v>282</v>
      </c>
      <c r="C161" s="108" t="s">
        <v>27</v>
      </c>
      <c r="D161" s="109">
        <v>5120130</v>
      </c>
      <c r="E161" s="109" t="s">
        <v>283</v>
      </c>
      <c r="F161" s="110">
        <f>SUM(G161:R161)</f>
        <v>0</v>
      </c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1:18" outlineLevel="1" x14ac:dyDescent="0.3">
      <c r="A162" s="34" t="s">
        <v>286</v>
      </c>
      <c r="B162" s="108" t="s">
        <v>282</v>
      </c>
      <c r="C162" s="108" t="s">
        <v>27</v>
      </c>
      <c r="D162" s="109">
        <v>5120120</v>
      </c>
      <c r="E162" s="109" t="s">
        <v>283</v>
      </c>
      <c r="F162" s="110">
        <f>SUM(G162:R162)</f>
        <v>0</v>
      </c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1:18" x14ac:dyDescent="0.3">
      <c r="A163" s="26" t="s">
        <v>287</v>
      </c>
      <c r="B163" s="112" t="s">
        <v>7</v>
      </c>
      <c r="C163" s="112"/>
      <c r="D163" s="113"/>
      <c r="E163" s="113"/>
      <c r="F163" s="114">
        <f t="shared" ref="F163:R163" si="32">SUM(F164:F167)</f>
        <v>40000000</v>
      </c>
      <c r="G163" s="114">
        <f t="shared" si="32"/>
        <v>0</v>
      </c>
      <c r="H163" s="114">
        <f t="shared" si="32"/>
        <v>0</v>
      </c>
      <c r="I163" s="114">
        <f t="shared" si="32"/>
        <v>0</v>
      </c>
      <c r="J163" s="114">
        <f t="shared" si="32"/>
        <v>0</v>
      </c>
      <c r="K163" s="114">
        <f t="shared" si="32"/>
        <v>0</v>
      </c>
      <c r="L163" s="114">
        <f t="shared" si="32"/>
        <v>0</v>
      </c>
      <c r="M163" s="114">
        <f t="shared" si="32"/>
        <v>0</v>
      </c>
      <c r="N163" s="114">
        <f t="shared" si="32"/>
        <v>0</v>
      </c>
      <c r="O163" s="114">
        <f t="shared" si="32"/>
        <v>0</v>
      </c>
      <c r="P163" s="114">
        <f t="shared" si="32"/>
        <v>0</v>
      </c>
      <c r="Q163" s="114">
        <f t="shared" si="32"/>
        <v>0</v>
      </c>
      <c r="R163" s="114">
        <f t="shared" si="32"/>
        <v>40000000</v>
      </c>
    </row>
    <row r="164" spans="1:18" outlineLevel="1" x14ac:dyDescent="0.3">
      <c r="A164" s="34" t="s">
        <v>288</v>
      </c>
      <c r="B164" s="108" t="s">
        <v>288</v>
      </c>
      <c r="C164" s="108" t="s">
        <v>15</v>
      </c>
      <c r="D164" s="109">
        <v>5121110</v>
      </c>
      <c r="E164" s="109" t="s">
        <v>289</v>
      </c>
      <c r="F164" s="110">
        <f>SUM(G164:R164)</f>
        <v>0</v>
      </c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1:18" outlineLevel="1" x14ac:dyDescent="0.3">
      <c r="A165" s="34" t="s">
        <v>290</v>
      </c>
      <c r="B165" s="108" t="s">
        <v>290</v>
      </c>
      <c r="C165" s="108" t="s">
        <v>15</v>
      </c>
      <c r="D165" s="109">
        <v>5121120</v>
      </c>
      <c r="E165" s="109" t="s">
        <v>291</v>
      </c>
      <c r="F165" s="110">
        <f>SUM(G165:R165)</f>
        <v>0</v>
      </c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1:18" outlineLevel="1" x14ac:dyDescent="0.3">
      <c r="A166" s="34" t="s">
        <v>292</v>
      </c>
      <c r="B166" s="108" t="s">
        <v>292</v>
      </c>
      <c r="C166" s="108" t="s">
        <v>27</v>
      </c>
      <c r="D166" s="109">
        <v>5121140</v>
      </c>
      <c r="E166" s="109" t="s">
        <v>293</v>
      </c>
      <c r="F166" s="110">
        <f>SUM(G166:R166)</f>
        <v>0</v>
      </c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1:18" outlineLevel="1" x14ac:dyDescent="0.3">
      <c r="A167" s="34" t="s">
        <v>294</v>
      </c>
      <c r="B167" s="108" t="s">
        <v>295</v>
      </c>
      <c r="C167" s="108" t="s">
        <v>15</v>
      </c>
      <c r="D167" s="109">
        <v>5121150</v>
      </c>
      <c r="E167" s="109" t="s">
        <v>296</v>
      </c>
      <c r="F167" s="110">
        <f>SUM(G167:R167)</f>
        <v>40000000</v>
      </c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>
        <v>40000000</v>
      </c>
    </row>
    <row r="168" spans="1:18" x14ac:dyDescent="0.3">
      <c r="A168" s="26" t="s">
        <v>297</v>
      </c>
      <c r="B168" s="112" t="s">
        <v>7</v>
      </c>
      <c r="C168" s="112"/>
      <c r="D168" s="113"/>
      <c r="E168" s="113"/>
      <c r="F168" s="114">
        <f t="shared" ref="F168:R168" si="33">SUM(F169:F172)</f>
        <v>40800000</v>
      </c>
      <c r="G168" s="114">
        <f t="shared" si="33"/>
        <v>0</v>
      </c>
      <c r="H168" s="114">
        <f t="shared" si="33"/>
        <v>0</v>
      </c>
      <c r="I168" s="114">
        <f t="shared" si="33"/>
        <v>10200000</v>
      </c>
      <c r="J168" s="114">
        <f t="shared" si="33"/>
        <v>0</v>
      </c>
      <c r="K168" s="114">
        <f t="shared" si="33"/>
        <v>0</v>
      </c>
      <c r="L168" s="114">
        <f t="shared" si="33"/>
        <v>10200000</v>
      </c>
      <c r="M168" s="114">
        <f t="shared" si="33"/>
        <v>0</v>
      </c>
      <c r="N168" s="114">
        <f t="shared" si="33"/>
        <v>0</v>
      </c>
      <c r="O168" s="114">
        <f t="shared" si="33"/>
        <v>10200000</v>
      </c>
      <c r="P168" s="114">
        <f t="shared" si="33"/>
        <v>0</v>
      </c>
      <c r="Q168" s="114">
        <f t="shared" si="33"/>
        <v>0</v>
      </c>
      <c r="R168" s="114">
        <f t="shared" si="33"/>
        <v>10200000</v>
      </c>
    </row>
    <row r="169" spans="1:18" outlineLevel="1" x14ac:dyDescent="0.3">
      <c r="A169" s="34" t="s">
        <v>298</v>
      </c>
      <c r="B169" s="108" t="s">
        <v>299</v>
      </c>
      <c r="C169" s="108" t="s">
        <v>27</v>
      </c>
      <c r="D169" s="109">
        <v>5122110</v>
      </c>
      <c r="E169" s="109" t="s">
        <v>300</v>
      </c>
      <c r="F169" s="110">
        <f>SUM(G169:R169)</f>
        <v>0</v>
      </c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</row>
    <row r="170" spans="1:18" outlineLevel="1" x14ac:dyDescent="0.3">
      <c r="A170" s="34" t="s">
        <v>301</v>
      </c>
      <c r="B170" s="108" t="s">
        <v>302</v>
      </c>
      <c r="C170" s="108" t="s">
        <v>15</v>
      </c>
      <c r="D170" s="109">
        <v>5122120</v>
      </c>
      <c r="E170" s="109" t="s">
        <v>303</v>
      </c>
      <c r="F170" s="110">
        <f>SUM(G170:R170)</f>
        <v>0</v>
      </c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</row>
    <row r="171" spans="1:18" outlineLevel="1" x14ac:dyDescent="0.3">
      <c r="A171" s="40" t="s">
        <v>304</v>
      </c>
      <c r="B171" s="108" t="s">
        <v>305</v>
      </c>
      <c r="C171" s="108" t="s">
        <v>15</v>
      </c>
      <c r="D171" s="109">
        <v>5122130</v>
      </c>
      <c r="E171" s="109" t="s">
        <v>306</v>
      </c>
      <c r="F171" s="110">
        <f>SUM(G171:R171)</f>
        <v>0</v>
      </c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</row>
    <row r="172" spans="1:18" s="118" customFormat="1" outlineLevel="1" x14ac:dyDescent="0.3">
      <c r="A172" s="54" t="s">
        <v>307</v>
      </c>
      <c r="B172" s="115" t="s">
        <v>308</v>
      </c>
      <c r="C172" s="115" t="s">
        <v>15</v>
      </c>
      <c r="D172" s="116">
        <v>5122140</v>
      </c>
      <c r="E172" s="116" t="s">
        <v>309</v>
      </c>
      <c r="F172" s="117">
        <f>SUM(G172:R172)</f>
        <v>40800000</v>
      </c>
      <c r="G172" s="117">
        <v>0</v>
      </c>
      <c r="H172" s="117">
        <v>0</v>
      </c>
      <c r="I172" s="117">
        <v>10200000</v>
      </c>
      <c r="J172" s="117">
        <v>0</v>
      </c>
      <c r="K172" s="117">
        <v>0</v>
      </c>
      <c r="L172" s="117">
        <v>10200000</v>
      </c>
      <c r="M172" s="117">
        <v>0</v>
      </c>
      <c r="N172" s="117">
        <v>0</v>
      </c>
      <c r="O172" s="117">
        <v>10200000</v>
      </c>
      <c r="P172" s="117">
        <v>0</v>
      </c>
      <c r="Q172" s="117">
        <v>0</v>
      </c>
      <c r="R172" s="117">
        <v>10200000</v>
      </c>
    </row>
    <row r="173" spans="1:18" x14ac:dyDescent="0.3">
      <c r="A173" s="26" t="s">
        <v>310</v>
      </c>
      <c r="B173" s="112" t="s">
        <v>7</v>
      </c>
      <c r="C173" s="112"/>
      <c r="D173" s="113"/>
      <c r="E173" s="113"/>
      <c r="F173" s="114">
        <f t="shared" ref="F173:R173" si="34">SUM(F174:F176)</f>
        <v>0</v>
      </c>
      <c r="G173" s="114">
        <f t="shared" si="34"/>
        <v>0</v>
      </c>
      <c r="H173" s="114">
        <f t="shared" si="34"/>
        <v>0</v>
      </c>
      <c r="I173" s="114">
        <f t="shared" si="34"/>
        <v>0</v>
      </c>
      <c r="J173" s="114">
        <f t="shared" si="34"/>
        <v>0</v>
      </c>
      <c r="K173" s="114">
        <f t="shared" si="34"/>
        <v>0</v>
      </c>
      <c r="L173" s="114">
        <f t="shared" si="34"/>
        <v>0</v>
      </c>
      <c r="M173" s="114">
        <f t="shared" si="34"/>
        <v>0</v>
      </c>
      <c r="N173" s="114">
        <f t="shared" si="34"/>
        <v>0</v>
      </c>
      <c r="O173" s="114">
        <f t="shared" si="34"/>
        <v>0</v>
      </c>
      <c r="P173" s="114">
        <f t="shared" si="34"/>
        <v>0</v>
      </c>
      <c r="Q173" s="114">
        <f t="shared" si="34"/>
        <v>0</v>
      </c>
      <c r="R173" s="114">
        <f t="shared" si="34"/>
        <v>0</v>
      </c>
    </row>
    <row r="174" spans="1:18" outlineLevel="1" x14ac:dyDescent="0.3">
      <c r="A174" s="34" t="s">
        <v>311</v>
      </c>
      <c r="B174" s="108" t="s">
        <v>312</v>
      </c>
      <c r="C174" s="108" t="s">
        <v>15</v>
      </c>
      <c r="D174" s="109">
        <v>5123110</v>
      </c>
      <c r="E174" s="109" t="s">
        <v>313</v>
      </c>
      <c r="F174" s="110">
        <f>SUM(G174:R174)</f>
        <v>0</v>
      </c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</row>
    <row r="175" spans="1:18" outlineLevel="1" x14ac:dyDescent="0.3">
      <c r="A175" s="34" t="s">
        <v>314</v>
      </c>
      <c r="B175" s="108" t="s">
        <v>315</v>
      </c>
      <c r="C175" s="108" t="s">
        <v>15</v>
      </c>
      <c r="D175" s="109">
        <v>5123120</v>
      </c>
      <c r="E175" s="109" t="s">
        <v>316</v>
      </c>
      <c r="F175" s="110">
        <f>SUM(G175:R175)</f>
        <v>0</v>
      </c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</row>
    <row r="176" spans="1:18" outlineLevel="1" x14ac:dyDescent="0.3">
      <c r="A176" s="57" t="s">
        <v>317</v>
      </c>
      <c r="B176" s="121" t="s">
        <v>318</v>
      </c>
      <c r="C176" s="121" t="s">
        <v>15</v>
      </c>
      <c r="D176" s="122">
        <v>5123130</v>
      </c>
      <c r="E176" s="122" t="s">
        <v>319</v>
      </c>
      <c r="F176" s="123">
        <f>SUM(G176:R176)</f>
        <v>0</v>
      </c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SM_SMF</vt:lpstr>
      <vt:lpstr>SM_SAO</vt:lpstr>
      <vt:lpstr>SM_SVO</vt:lpstr>
      <vt:lpstr>SM_SDO</vt:lpstr>
      <vt:lpstr>SM_SHO</vt:lpstr>
      <vt:lpstr>SM_QSF</vt:lpstr>
      <vt:lpstr>SM_SQA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2025-10-16T13:05:35Z</dcterms:created>
  <dcterms:modified xsi:type="dcterms:W3CDTF">2026-06-23T05:27:04Z</dcterms:modified>
</cp:coreProperties>
</file>