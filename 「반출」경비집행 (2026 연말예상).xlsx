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"/>
    </mc:Choice>
  </mc:AlternateContent>
  <xr:revisionPtr revIDLastSave="0" documentId="13_ncr:1_{CCC3FC6D-06A0-4912-BDED-773C0019971E}" xr6:coauthVersionLast="36" xr6:coauthVersionMax="36" xr10:uidLastSave="{00000000-0000-0000-0000-000000000000}"/>
  <bookViews>
    <workbookView xWindow="480" yWindow="30" windowWidth="25875" windowHeight="151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171" i="1" l="1"/>
  <c r="N170" i="1"/>
  <c r="O169" i="1"/>
  <c r="N169" i="1"/>
  <c r="N168" i="1"/>
  <c r="N167" i="1"/>
  <c r="P166" i="1"/>
  <c r="N166" i="1"/>
  <c r="O166" i="1" s="1"/>
  <c r="Q166" i="1" s="1"/>
  <c r="R166" i="1" s="1"/>
  <c r="N165" i="1"/>
  <c r="N164" i="1"/>
  <c r="N163" i="1"/>
  <c r="P163" i="1" s="1"/>
  <c r="N162" i="1"/>
  <c r="N161" i="1"/>
  <c r="N160" i="1"/>
  <c r="O159" i="1"/>
  <c r="P159" i="1" s="1"/>
  <c r="N159" i="1"/>
  <c r="N158" i="1"/>
  <c r="N157" i="1"/>
  <c r="N156" i="1"/>
  <c r="O155" i="1"/>
  <c r="N155" i="1"/>
  <c r="N154" i="1"/>
  <c r="N153" i="1"/>
  <c r="N152" i="1"/>
  <c r="O152" i="1" s="1"/>
  <c r="P152" i="1" s="1"/>
  <c r="N151" i="1"/>
  <c r="N150" i="1"/>
  <c r="O149" i="1"/>
  <c r="N149" i="1"/>
  <c r="P149" i="1" s="1"/>
  <c r="N148" i="1"/>
  <c r="N147" i="1"/>
  <c r="N146" i="1"/>
  <c r="O145" i="1"/>
  <c r="N145" i="1"/>
  <c r="N144" i="1"/>
  <c r="O144" i="1" s="1"/>
  <c r="N143" i="1"/>
  <c r="N142" i="1"/>
  <c r="O141" i="1"/>
  <c r="N141" i="1"/>
  <c r="N140" i="1"/>
  <c r="O139" i="1"/>
  <c r="N139" i="1"/>
  <c r="N138" i="1"/>
  <c r="O138" i="1" s="1"/>
  <c r="N137" i="1"/>
  <c r="N136" i="1"/>
  <c r="O135" i="1"/>
  <c r="N135" i="1"/>
  <c r="P135" i="1" s="1"/>
  <c r="N134" i="1"/>
  <c r="N133" i="1"/>
  <c r="N132" i="1"/>
  <c r="P131" i="1"/>
  <c r="O131" i="1"/>
  <c r="N131" i="1"/>
  <c r="O130" i="1"/>
  <c r="P130" i="1" s="1"/>
  <c r="N130" i="1"/>
  <c r="N129" i="1"/>
  <c r="N128" i="1"/>
  <c r="P127" i="1"/>
  <c r="O127" i="1"/>
  <c r="Q127" i="1" s="1"/>
  <c r="R127" i="1" s="1"/>
  <c r="N127" i="1"/>
  <c r="N126" i="1"/>
  <c r="O125" i="1"/>
  <c r="N125" i="1"/>
  <c r="N124" i="1"/>
  <c r="O124" i="1" s="1"/>
  <c r="N123" i="1"/>
  <c r="N122" i="1"/>
  <c r="O121" i="1"/>
  <c r="P121" i="1" s="1"/>
  <c r="N121" i="1"/>
  <c r="N120" i="1"/>
  <c r="O120" i="1" s="1"/>
  <c r="N119" i="1"/>
  <c r="N118" i="1"/>
  <c r="O117" i="1"/>
  <c r="N117" i="1"/>
  <c r="N116" i="1"/>
  <c r="N115" i="1"/>
  <c r="N114" i="1"/>
  <c r="O113" i="1"/>
  <c r="N113" i="1"/>
  <c r="N112" i="1"/>
  <c r="N111" i="1"/>
  <c r="N110" i="1"/>
  <c r="O110" i="1" s="1"/>
  <c r="P110" i="1" s="1"/>
  <c r="N109" i="1"/>
  <c r="O108" i="1"/>
  <c r="N108" i="1"/>
  <c r="Q107" i="1"/>
  <c r="O107" i="1"/>
  <c r="N107" i="1"/>
  <c r="P107" i="1" s="1"/>
  <c r="R107" i="1" s="1"/>
  <c r="N106" i="1"/>
  <c r="O105" i="1"/>
  <c r="N105" i="1"/>
  <c r="N104" i="1"/>
  <c r="P103" i="1"/>
  <c r="O103" i="1"/>
  <c r="N103" i="1"/>
  <c r="N102" i="1"/>
  <c r="O101" i="1"/>
  <c r="N101" i="1"/>
  <c r="N100" i="1"/>
  <c r="O99" i="1"/>
  <c r="N99" i="1"/>
  <c r="N98" i="1"/>
  <c r="N97" i="1"/>
  <c r="O97" i="1" s="1"/>
  <c r="N96" i="1"/>
  <c r="O96" i="1" s="1"/>
  <c r="P96" i="1" s="1"/>
  <c r="N95" i="1"/>
  <c r="N94" i="1"/>
  <c r="N93" i="1"/>
  <c r="P93" i="1" s="1"/>
  <c r="N92" i="1"/>
  <c r="P91" i="1"/>
  <c r="N91" i="1"/>
  <c r="N90" i="1"/>
  <c r="O89" i="1"/>
  <c r="N89" i="1"/>
  <c r="N88" i="1"/>
  <c r="O87" i="1"/>
  <c r="N87" i="1"/>
  <c r="N86" i="1"/>
  <c r="O85" i="1"/>
  <c r="P85" i="1" s="1"/>
  <c r="N85" i="1"/>
  <c r="N84" i="1"/>
  <c r="N83" i="1"/>
  <c r="N82" i="1"/>
  <c r="O82" i="1" s="1"/>
  <c r="N81" i="1"/>
  <c r="O80" i="1"/>
  <c r="P80" i="1" s="1"/>
  <c r="N80" i="1"/>
  <c r="O79" i="1"/>
  <c r="N79" i="1"/>
  <c r="P79" i="1" s="1"/>
  <c r="O78" i="1"/>
  <c r="N78" i="1"/>
  <c r="O77" i="1"/>
  <c r="N77" i="1"/>
  <c r="N76" i="1"/>
  <c r="P75" i="1"/>
  <c r="O75" i="1"/>
  <c r="N75" i="1"/>
  <c r="O74" i="1"/>
  <c r="P74" i="1" s="1"/>
  <c r="N74" i="1"/>
  <c r="O73" i="1"/>
  <c r="N73" i="1"/>
  <c r="N72" i="1"/>
  <c r="N70" i="1"/>
  <c r="N69" i="1"/>
  <c r="N68" i="1"/>
  <c r="O68" i="1" s="1"/>
  <c r="N67" i="1"/>
  <c r="N66" i="1"/>
  <c r="Q65" i="1"/>
  <c r="R65" i="1" s="1"/>
  <c r="O65" i="1"/>
  <c r="N65" i="1"/>
  <c r="P65" i="1" s="1"/>
  <c r="O64" i="1"/>
  <c r="N64" i="1"/>
  <c r="N63" i="1"/>
  <c r="N62" i="1"/>
  <c r="O61" i="1"/>
  <c r="N61" i="1"/>
  <c r="O60" i="1"/>
  <c r="P60" i="1" s="1"/>
  <c r="N60" i="1"/>
  <c r="O59" i="1"/>
  <c r="N59" i="1"/>
  <c r="N58" i="1"/>
  <c r="O57" i="1"/>
  <c r="P57" i="1" s="1"/>
  <c r="N57" i="1"/>
  <c r="N56" i="1"/>
  <c r="N55" i="1"/>
  <c r="N54" i="1"/>
  <c r="O54" i="1" s="1"/>
  <c r="P54" i="1" s="1"/>
  <c r="N53" i="1"/>
  <c r="N52" i="1"/>
  <c r="O51" i="1"/>
  <c r="P51" i="1" s="1"/>
  <c r="Q51" i="1" s="1"/>
  <c r="R51" i="1" s="1"/>
  <c r="N51" i="1"/>
  <c r="O50" i="1"/>
  <c r="N50" i="1"/>
  <c r="O49" i="1"/>
  <c r="N49" i="1"/>
  <c r="N48" i="1"/>
  <c r="O47" i="1"/>
  <c r="P47" i="1" s="1"/>
  <c r="N47" i="1"/>
  <c r="O46" i="1"/>
  <c r="N46" i="1"/>
  <c r="O45" i="1"/>
  <c r="N45" i="1"/>
  <c r="N44" i="1"/>
  <c r="O43" i="1"/>
  <c r="N43" i="1"/>
  <c r="N42" i="1"/>
  <c r="N41" i="1"/>
  <c r="N40" i="1"/>
  <c r="O40" i="1" s="1"/>
  <c r="N39" i="1"/>
  <c r="O38" i="1"/>
  <c r="N38" i="1"/>
  <c r="O37" i="1"/>
  <c r="N37" i="1"/>
  <c r="P37" i="1" s="1"/>
  <c r="Q37" i="1" s="1"/>
  <c r="R37" i="1" s="1"/>
  <c r="N36" i="1"/>
  <c r="N35" i="1"/>
  <c r="N34" i="1"/>
  <c r="P33" i="1"/>
  <c r="O33" i="1"/>
  <c r="N33" i="1"/>
  <c r="N32" i="1"/>
  <c r="O32" i="1" s="1"/>
  <c r="O31" i="1"/>
  <c r="N31" i="1"/>
  <c r="N30" i="1"/>
  <c r="O29" i="1"/>
  <c r="P29" i="1" s="1"/>
  <c r="N29" i="1"/>
  <c r="N28" i="1"/>
  <c r="N27" i="1"/>
  <c r="N26" i="1"/>
  <c r="O26" i="1" s="1"/>
  <c r="N25" i="1"/>
  <c r="O24" i="1"/>
  <c r="P24" i="1" s="1"/>
  <c r="N24" i="1"/>
  <c r="O23" i="1"/>
  <c r="N23" i="1"/>
  <c r="P23" i="1" s="1"/>
  <c r="O22" i="1"/>
  <c r="N22" i="1"/>
  <c r="N21" i="1"/>
  <c r="N20" i="1"/>
  <c r="P19" i="1"/>
  <c r="O19" i="1"/>
  <c r="N19" i="1"/>
  <c r="O18" i="1"/>
  <c r="N18" i="1"/>
  <c r="N17" i="1"/>
  <c r="N16" i="1"/>
  <c r="O15" i="1"/>
  <c r="N15" i="1"/>
  <c r="N14" i="1"/>
  <c r="N13" i="1"/>
  <c r="P12" i="1"/>
  <c r="N11" i="1"/>
  <c r="O10" i="1"/>
  <c r="N10" i="1"/>
  <c r="O9" i="1"/>
  <c r="N9" i="1"/>
  <c r="P9" i="1" s="1"/>
  <c r="N8" i="1"/>
  <c r="O7" i="1"/>
  <c r="P7" i="1" s="1"/>
  <c r="N7" i="1"/>
  <c r="N6" i="1"/>
  <c r="P5" i="1"/>
  <c r="O5" i="1"/>
  <c r="N5" i="1"/>
  <c r="Q5" i="1" s="1"/>
  <c r="N4" i="1"/>
  <c r="N3" i="1"/>
  <c r="P2" i="1"/>
  <c r="Q2" i="1" s="1"/>
  <c r="O2" i="1"/>
  <c r="N2" i="1"/>
  <c r="R38" i="1" l="1"/>
  <c r="R135" i="1"/>
  <c r="P52" i="1"/>
  <c r="Q152" i="1"/>
  <c r="R152" i="1" s="1"/>
  <c r="Q29" i="1"/>
  <c r="R29" i="1" s="1"/>
  <c r="R121" i="1"/>
  <c r="Q40" i="1"/>
  <c r="R96" i="1"/>
  <c r="Q96" i="1"/>
  <c r="P150" i="1"/>
  <c r="R82" i="1"/>
  <c r="R93" i="1"/>
  <c r="R60" i="1"/>
  <c r="Q60" i="1"/>
  <c r="R15" i="1"/>
  <c r="R149" i="1"/>
  <c r="Q87" i="1"/>
  <c r="Q61" i="1"/>
  <c r="R61" i="1" s="1"/>
  <c r="O13" i="1"/>
  <c r="P22" i="1"/>
  <c r="R22" i="1" s="1"/>
  <c r="Q22" i="1"/>
  <c r="P40" i="1"/>
  <c r="O53" i="1"/>
  <c r="Q53" i="1" s="1"/>
  <c r="R53" i="1" s="1"/>
  <c r="P53" i="1"/>
  <c r="R57" i="1"/>
  <c r="Q75" i="1"/>
  <c r="R75" i="1" s="1"/>
  <c r="Q80" i="1"/>
  <c r="O111" i="1"/>
  <c r="O116" i="1"/>
  <c r="P125" i="1"/>
  <c r="Q125" i="1" s="1"/>
  <c r="O134" i="1"/>
  <c r="P139" i="1"/>
  <c r="Q139" i="1" s="1"/>
  <c r="P144" i="1"/>
  <c r="R144" i="1" s="1"/>
  <c r="Q149" i="1"/>
  <c r="R163" i="1"/>
  <c r="O114" i="1"/>
  <c r="O123" i="1"/>
  <c r="O25" i="1"/>
  <c r="Q25" i="1" s="1"/>
  <c r="R25" i="1" s="1"/>
  <c r="P25" i="1"/>
  <c r="Q47" i="1"/>
  <c r="R47" i="1" s="1"/>
  <c r="P92" i="1"/>
  <c r="P105" i="1"/>
  <c r="Q105" i="1" s="1"/>
  <c r="R105" i="1" s="1"/>
  <c r="O119" i="1"/>
  <c r="O128" i="1"/>
  <c r="Q128" i="1" s="1"/>
  <c r="Q7" i="1"/>
  <c r="Q74" i="1"/>
  <c r="O88" i="1"/>
  <c r="Q110" i="1"/>
  <c r="R110" i="1" s="1"/>
  <c r="P124" i="1"/>
  <c r="Q124" i="1" s="1"/>
  <c r="P128" i="1"/>
  <c r="O133" i="1"/>
  <c r="Q133" i="1" s="1"/>
  <c r="P138" i="1"/>
  <c r="O167" i="1"/>
  <c r="P167" i="1" s="1"/>
  <c r="Q167" i="1" s="1"/>
  <c r="P26" i="1"/>
  <c r="Q26" i="1" s="1"/>
  <c r="R26" i="1" s="1"/>
  <c r="Q39" i="1"/>
  <c r="O39" i="1"/>
  <c r="P39" i="1"/>
  <c r="R39" i="1" s="1"/>
  <c r="Q79" i="1"/>
  <c r="R79" i="1" s="1"/>
  <c r="P133" i="1"/>
  <c r="O153" i="1"/>
  <c r="O8" i="1"/>
  <c r="P8" i="1" s="1"/>
  <c r="O35" i="1"/>
  <c r="P35" i="1" s="1"/>
  <c r="Q57" i="1"/>
  <c r="O66" i="1"/>
  <c r="O102" i="1"/>
  <c r="P102" i="1" s="1"/>
  <c r="P120" i="1"/>
  <c r="P4" i="1"/>
  <c r="Q4" i="1" s="1"/>
  <c r="O58" i="1"/>
  <c r="Q58" i="1" s="1"/>
  <c r="Q144" i="1"/>
  <c r="Q9" i="1"/>
  <c r="R9" i="1" s="1"/>
  <c r="O27" i="1"/>
  <c r="R40" i="1"/>
  <c r="P49" i="1"/>
  <c r="Q49" i="1" s="1"/>
  <c r="Q76" i="1"/>
  <c r="P41" i="1"/>
  <c r="R41" i="1" s="1"/>
  <c r="Q54" i="1"/>
  <c r="R54" i="1" s="1"/>
  <c r="O63" i="1"/>
  <c r="O72" i="1"/>
  <c r="R80" i="1"/>
  <c r="Q85" i="1"/>
  <c r="R85" i="1" s="1"/>
  <c r="O94" i="1"/>
  <c r="Q121" i="1"/>
  <c r="Q130" i="1"/>
  <c r="R130" i="1" s="1"/>
  <c r="Q135" i="1"/>
  <c r="O150" i="1"/>
  <c r="R150" i="1" s="1"/>
  <c r="P155" i="1"/>
  <c r="P169" i="1"/>
  <c r="Q10" i="1"/>
  <c r="Q23" i="1"/>
  <c r="R23" i="1" s="1"/>
  <c r="P32" i="1"/>
  <c r="Q32" i="1" s="1"/>
  <c r="R32" i="1" s="1"/>
  <c r="O41" i="1"/>
  <c r="P50" i="1"/>
  <c r="P63" i="1"/>
  <c r="P68" i="1"/>
  <c r="R68" i="1" s="1"/>
  <c r="P72" i="1"/>
  <c r="R72" i="1" s="1"/>
  <c r="R77" i="1"/>
  <c r="P81" i="1"/>
  <c r="O81" i="1"/>
  <c r="Q81" i="1" s="1"/>
  <c r="R81" i="1" s="1"/>
  <c r="P99" i="1"/>
  <c r="Q103" i="1"/>
  <c r="Q108" i="1"/>
  <c r="R117" i="1"/>
  <c r="Q145" i="1"/>
  <c r="P145" i="1"/>
  <c r="R145" i="1" s="1"/>
  <c r="O16" i="1"/>
  <c r="P16" i="1" s="1"/>
  <c r="O142" i="1"/>
  <c r="O158" i="1"/>
  <c r="O30" i="1"/>
  <c r="P30" i="1" s="1"/>
  <c r="O92" i="1"/>
  <c r="Q92" i="1" s="1"/>
  <c r="R92" i="1" s="1"/>
  <c r="O4" i="1"/>
  <c r="P61" i="1"/>
  <c r="Q150" i="1"/>
  <c r="Q72" i="1"/>
  <c r="Q99" i="1"/>
  <c r="R99" i="1" s="1"/>
  <c r="Q117" i="1"/>
  <c r="R131" i="1"/>
  <c r="O165" i="1"/>
  <c r="P165" i="1" s="1"/>
  <c r="Q162" i="1"/>
  <c r="P162" i="1"/>
  <c r="O83" i="1"/>
  <c r="P83" i="1" s="1"/>
  <c r="P114" i="1"/>
  <c r="Q114" i="1" s="1"/>
  <c r="R114" i="1" s="1"/>
  <c r="P142" i="1"/>
  <c r="R12" i="1"/>
  <c r="R74" i="1"/>
  <c r="O44" i="1"/>
  <c r="P111" i="1"/>
  <c r="P18" i="1"/>
  <c r="Q18" i="1" s="1"/>
  <c r="O67" i="1"/>
  <c r="R103" i="1"/>
  <c r="R19" i="1"/>
  <c r="Q41" i="1"/>
  <c r="Q68" i="1"/>
  <c r="O86" i="1"/>
  <c r="P86" i="1" s="1"/>
  <c r="P10" i="1"/>
  <c r="P15" i="1"/>
  <c r="Q24" i="1"/>
  <c r="R24" i="1" s="1"/>
  <c r="P46" i="1"/>
  <c r="Q46" i="1" s="1"/>
  <c r="O55" i="1"/>
  <c r="P64" i="1"/>
  <c r="P77" i="1"/>
  <c r="Q77" i="1" s="1"/>
  <c r="P82" i="1"/>
  <c r="R91" i="1"/>
  <c r="P95" i="1"/>
  <c r="Q95" i="1" s="1"/>
  <c r="O95" i="1"/>
  <c r="R95" i="1" s="1"/>
  <c r="P108" i="1"/>
  <c r="R108" i="1" s="1"/>
  <c r="P113" i="1"/>
  <c r="Q113" i="1" s="1"/>
  <c r="P117" i="1"/>
  <c r="O122" i="1"/>
  <c r="Q131" i="1"/>
  <c r="O136" i="1"/>
  <c r="P141" i="1"/>
  <c r="R141" i="1" s="1"/>
  <c r="O156" i="1"/>
  <c r="P156" i="1" s="1"/>
  <c r="O161" i="1"/>
  <c r="P161" i="1" s="1"/>
  <c r="Q170" i="1"/>
  <c r="O170" i="1"/>
  <c r="P170" i="1" s="1"/>
  <c r="P43" i="1"/>
  <c r="Q43" i="1" s="1"/>
  <c r="R43" i="1" s="1"/>
  <c r="O162" i="1"/>
  <c r="R162" i="1" s="1"/>
  <c r="O21" i="1"/>
  <c r="O52" i="1"/>
  <c r="Q52" i="1" s="1"/>
  <c r="R52" i="1" s="1"/>
  <c r="P148" i="1"/>
  <c r="Q148" i="1" s="1"/>
  <c r="O148" i="1"/>
  <c r="R148" i="1" s="1"/>
  <c r="O164" i="1"/>
  <c r="P36" i="1"/>
  <c r="O100" i="1"/>
  <c r="Q118" i="1"/>
  <c r="P136" i="1"/>
  <c r="Q136" i="1" s="1"/>
  <c r="R136" i="1" s="1"/>
  <c r="Q141" i="1"/>
  <c r="P38" i="1"/>
  <c r="P97" i="1"/>
  <c r="Q97" i="1" s="1"/>
  <c r="O106" i="1"/>
  <c r="Q111" i="1"/>
  <c r="R111" i="1" s="1"/>
  <c r="Q159" i="1"/>
  <c r="R159" i="1" s="1"/>
  <c r="P58" i="1"/>
  <c r="P89" i="1"/>
  <c r="Q15" i="1"/>
  <c r="Q33" i="1"/>
  <c r="Q82" i="1"/>
  <c r="R7" i="1"/>
  <c r="O11" i="1"/>
  <c r="Q38" i="1"/>
  <c r="O69" i="1"/>
  <c r="P69" i="1" s="1"/>
  <c r="P78" i="1"/>
  <c r="Q78" i="1" s="1"/>
  <c r="R78" i="1" s="1"/>
  <c r="O147" i="1"/>
  <c r="Q19" i="1"/>
  <c r="O137" i="1"/>
  <c r="O151" i="1"/>
  <c r="R5" i="1"/>
  <c r="O14" i="1"/>
  <c r="O28" i="1"/>
  <c r="Q28" i="1" s="1"/>
  <c r="R28" i="1" s="1"/>
  <c r="R33" i="1"/>
  <c r="O42" i="1"/>
  <c r="O56" i="1"/>
  <c r="O70" i="1"/>
  <c r="O84" i="1"/>
  <c r="O98" i="1"/>
  <c r="O126" i="1"/>
  <c r="P137" i="1"/>
  <c r="Q137" i="1" s="1"/>
  <c r="R137" i="1" s="1"/>
  <c r="O140" i="1"/>
  <c r="R140" i="1" s="1"/>
  <c r="P151" i="1"/>
  <c r="O154" i="1"/>
  <c r="O168" i="1"/>
  <c r="R168" i="1" s="1"/>
  <c r="P14" i="1"/>
  <c r="Q14" i="1" s="1"/>
  <c r="P56" i="1"/>
  <c r="Q56" i="1" s="1"/>
  <c r="P84" i="1"/>
  <c r="P98" i="1"/>
  <c r="P112" i="1"/>
  <c r="R112" i="1" s="1"/>
  <c r="O115" i="1"/>
  <c r="R115" i="1" s="1"/>
  <c r="P126" i="1"/>
  <c r="O129" i="1"/>
  <c r="P140" i="1"/>
  <c r="Q140" i="1" s="1"/>
  <c r="O143" i="1"/>
  <c r="P143" i="1" s="1"/>
  <c r="O157" i="1"/>
  <c r="P168" i="1"/>
  <c r="Q168" i="1" s="1"/>
  <c r="O171" i="1"/>
  <c r="P28" i="1"/>
  <c r="O6" i="1"/>
  <c r="Q6" i="1" s="1"/>
  <c r="P17" i="1"/>
  <c r="O20" i="1"/>
  <c r="P31" i="1"/>
  <c r="O34" i="1"/>
  <c r="Q34" i="1" s="1"/>
  <c r="P45" i="1"/>
  <c r="Q45" i="1" s="1"/>
  <c r="R45" i="1" s="1"/>
  <c r="O48" i="1"/>
  <c r="P59" i="1"/>
  <c r="O62" i="1"/>
  <c r="P73" i="1"/>
  <c r="O76" i="1"/>
  <c r="P87" i="1"/>
  <c r="R87" i="1" s="1"/>
  <c r="O90" i="1"/>
  <c r="P101" i="1"/>
  <c r="Q101" i="1" s="1"/>
  <c r="O104" i="1"/>
  <c r="P115" i="1"/>
  <c r="O118" i="1"/>
  <c r="Q126" i="1"/>
  <c r="R126" i="1" s="1"/>
  <c r="P129" i="1"/>
  <c r="Q129" i="1" s="1"/>
  <c r="R129" i="1" s="1"/>
  <c r="O132" i="1"/>
  <c r="O160" i="1"/>
  <c r="P171" i="1"/>
  <c r="P62" i="1"/>
  <c r="Q62" i="1" s="1"/>
  <c r="P76" i="1"/>
  <c r="P90" i="1"/>
  <c r="Q115" i="1"/>
  <c r="P118" i="1"/>
  <c r="P6" i="1"/>
  <c r="P34" i="1"/>
  <c r="O3" i="1"/>
  <c r="P3" i="1"/>
  <c r="R2" i="1"/>
  <c r="Q102" i="1" l="1"/>
  <c r="R102" i="1"/>
  <c r="R73" i="1"/>
  <c r="Q122" i="1"/>
  <c r="R142" i="1"/>
  <c r="R171" i="1"/>
  <c r="R58" i="1"/>
  <c r="Q30" i="1"/>
  <c r="R30" i="1"/>
  <c r="R59" i="1"/>
  <c r="R155" i="1"/>
  <c r="R133" i="1"/>
  <c r="Q104" i="1"/>
  <c r="R14" i="1"/>
  <c r="R50" i="1"/>
  <c r="R151" i="1"/>
  <c r="R84" i="1"/>
  <c r="R27" i="1"/>
  <c r="R4" i="1"/>
  <c r="Q64" i="1"/>
  <c r="R64" i="1" s="1"/>
  <c r="R83" i="1"/>
  <c r="P106" i="1"/>
  <c r="R56" i="1"/>
  <c r="P66" i="1"/>
  <c r="R66" i="1" s="1"/>
  <c r="P104" i="1"/>
  <c r="R62" i="1"/>
  <c r="P70" i="1"/>
  <c r="Q70" i="1" s="1"/>
  <c r="P122" i="1"/>
  <c r="Q63" i="1"/>
  <c r="R63" i="1" s="1"/>
  <c r="Q169" i="1"/>
  <c r="R169" i="1" s="1"/>
  <c r="R18" i="1"/>
  <c r="P88" i="1"/>
  <c r="Q88" i="1" s="1"/>
  <c r="R128" i="1"/>
  <c r="P123" i="1"/>
  <c r="R139" i="1"/>
  <c r="R124" i="1"/>
  <c r="Q35" i="1"/>
  <c r="Q59" i="1"/>
  <c r="Q155" i="1"/>
  <c r="Q138" i="1"/>
  <c r="R138" i="1" s="1"/>
  <c r="R125" i="1"/>
  <c r="R118" i="1"/>
  <c r="P42" i="1"/>
  <c r="Q42" i="1" s="1"/>
  <c r="Q109" i="1"/>
  <c r="P11" i="1"/>
  <c r="Q55" i="1"/>
  <c r="P55" i="1"/>
  <c r="R167" i="1"/>
  <c r="Q66" i="1"/>
  <c r="P134" i="1"/>
  <c r="P154" i="1"/>
  <c r="R154" i="1" s="1"/>
  <c r="P164" i="1"/>
  <c r="Q164" i="1" s="1"/>
  <c r="P119" i="1"/>
  <c r="Q119" i="1" s="1"/>
  <c r="R119" i="1" s="1"/>
  <c r="Q134" i="1"/>
  <c r="R134" i="1" s="1"/>
  <c r="P48" i="1"/>
  <c r="Q48" i="1" s="1"/>
  <c r="R48" i="1" s="1"/>
  <c r="Q151" i="1"/>
  <c r="P27" i="1"/>
  <c r="R170" i="1"/>
  <c r="Q21" i="1"/>
  <c r="R46" i="1"/>
  <c r="R104" i="1"/>
  <c r="Q171" i="1"/>
  <c r="P160" i="1"/>
  <c r="Q160" i="1" s="1"/>
  <c r="R160" i="1"/>
  <c r="Q98" i="1"/>
  <c r="R98" i="1" s="1"/>
  <c r="P100" i="1"/>
  <c r="R17" i="1"/>
  <c r="Q156" i="1"/>
  <c r="P13" i="1"/>
  <c r="Q13" i="1" s="1"/>
  <c r="Q165" i="1"/>
  <c r="R36" i="1"/>
  <c r="Q27" i="1"/>
  <c r="Q120" i="1"/>
  <c r="R120" i="1" s="1"/>
  <c r="R49" i="1"/>
  <c r="P153" i="1"/>
  <c r="Q153" i="1" s="1"/>
  <c r="Q44" i="1"/>
  <c r="R44" i="1" s="1"/>
  <c r="P116" i="1"/>
  <c r="P157" i="1"/>
  <c r="R90" i="1"/>
  <c r="Q73" i="1"/>
  <c r="R156" i="1"/>
  <c r="R10" i="1"/>
  <c r="R165" i="1"/>
  <c r="P44" i="1"/>
  <c r="Q143" i="1"/>
  <c r="R143" i="1" s="1"/>
  <c r="Q154" i="1"/>
  <c r="P20" i="1"/>
  <c r="Q20" i="1" s="1"/>
  <c r="R20" i="1"/>
  <c r="Q89" i="1"/>
  <c r="R89" i="1" s="1"/>
  <c r="R35" i="1"/>
  <c r="R161" i="1"/>
  <c r="Q31" i="1"/>
  <c r="R31" i="1" s="1"/>
  <c r="Q142" i="1"/>
  <c r="P94" i="1"/>
  <c r="Q94" i="1" s="1"/>
  <c r="R94" i="1" s="1"/>
  <c r="Q50" i="1"/>
  <c r="Q8" i="1"/>
  <c r="R8" i="1" s="1"/>
  <c r="R97" i="1"/>
  <c r="Q16" i="1"/>
  <c r="R16" i="1" s="1"/>
  <c r="P132" i="1"/>
  <c r="Q132" i="1" s="1"/>
  <c r="R132" i="1" s="1"/>
  <c r="P146" i="1"/>
  <c r="Q84" i="1"/>
  <c r="Q161" i="1"/>
  <c r="P67" i="1"/>
  <c r="Q67" i="1" s="1"/>
  <c r="P158" i="1"/>
  <c r="Q158" i="1" s="1"/>
  <c r="Q90" i="1"/>
  <c r="R101" i="1"/>
  <c r="R34" i="1"/>
  <c r="P21" i="1"/>
  <c r="R21" i="1" s="1"/>
  <c r="R76" i="1"/>
  <c r="Q83" i="1"/>
  <c r="Q86" i="1"/>
  <c r="R86" i="1" s="1"/>
  <c r="R6" i="1"/>
  <c r="P147" i="1"/>
  <c r="Q147" i="1" s="1"/>
  <c r="R69" i="1"/>
  <c r="Q69" i="1"/>
  <c r="R113" i="1"/>
  <c r="Q3" i="1"/>
  <c r="R3" i="1" s="1"/>
  <c r="R11" i="1" l="1"/>
  <c r="Q157" i="1"/>
  <c r="R157" i="1" s="1"/>
  <c r="R164" i="1"/>
  <c r="Q106" i="1"/>
  <c r="R106" i="1" s="1"/>
  <c r="Q11" i="1"/>
  <c r="R109" i="1"/>
  <c r="R88" i="1"/>
  <c r="R67" i="1"/>
  <c r="R146" i="1"/>
  <c r="R158" i="1"/>
  <c r="Q123" i="1"/>
  <c r="R123" i="1" s="1"/>
  <c r="R153" i="1"/>
  <c r="R42" i="1"/>
  <c r="R70" i="1"/>
  <c r="Q100" i="1"/>
  <c r="R100" i="1" s="1"/>
  <c r="R147" i="1"/>
  <c r="R122" i="1"/>
  <c r="Q116" i="1"/>
  <c r="R116" i="1" s="1"/>
  <c r="R55" i="1"/>
  <c r="R13" i="1"/>
</calcChain>
</file>

<file path=xl/sharedStrings.xml><?xml version="1.0" encoding="utf-8"?>
<sst xmlns="http://schemas.openxmlformats.org/spreadsheetml/2006/main" count="1038" uniqueCount="120">
  <si>
    <t>항목그룹명</t>
  </si>
  <si>
    <t>공장</t>
  </si>
  <si>
    <t>CC코드</t>
  </si>
  <si>
    <t>CC명</t>
  </si>
  <si>
    <t>항목구분명</t>
  </si>
  <si>
    <t>항목명</t>
  </si>
  <si>
    <t>01월</t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</si>
  <si>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</si>
  <si>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</si>
  <si>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</si>
  <si>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</si>
  <si>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</si>
  <si>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</si>
  <si>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</si>
  <si>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</si>
  <si>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</si>
  <si>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</si>
  <si>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</si>
  <si>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제조경비</t>
  </si>
  <si>
    <t>23</t>
  </si>
  <si>
    <t>SM_QSF</t>
  </si>
  <si>
    <t>품질관리실 품질관리 6팀</t>
  </si>
  <si>
    <t>복리후생비(제조)</t>
  </si>
  <si>
    <t>복리후생비-식당운영비(제조)</t>
  </si>
  <si>
    <t>복리후생비-부서활동비(제조)</t>
  </si>
  <si>
    <t>복리후생비-지원보조비(제조)</t>
  </si>
  <si>
    <t>복리후생비-사내경조비(제조)</t>
  </si>
  <si>
    <t>복리후생비-법정후생비(제조)</t>
  </si>
  <si>
    <t>여비교통비(제조)</t>
  </si>
  <si>
    <t>여비교통비-시외출장비(제조)</t>
  </si>
  <si>
    <t>여비교통비-시내출장비(제조)</t>
  </si>
  <si>
    <t>감가상각비(제조)</t>
  </si>
  <si>
    <t>감가상각비-기계장치(제조)</t>
  </si>
  <si>
    <t>감가상각비-공구기구비품(제조)</t>
  </si>
  <si>
    <t>수선비(제조)</t>
  </si>
  <si>
    <t>수선비-공구기구비품(제조)</t>
  </si>
  <si>
    <t>수선비-안전보건비(제조)</t>
  </si>
  <si>
    <t>경상연구개발비(제조)</t>
  </si>
  <si>
    <t>경상연구개발비-실험재료비_출고(제조)</t>
  </si>
  <si>
    <t>경상연구개발비-실험시약비_출고(제조)</t>
  </si>
  <si>
    <t>경상연구개발비-실험재료관리비(제조)</t>
  </si>
  <si>
    <t>경상연구개발비-실험시약비(제조)</t>
  </si>
  <si>
    <t>교육훈련비(제조)</t>
  </si>
  <si>
    <t>교육훈련비-사외교육훈련비(제조)</t>
  </si>
  <si>
    <t>도서문구비(제조)</t>
  </si>
  <si>
    <t>도서문구비-사무용품비(제조)</t>
  </si>
  <si>
    <t>소모품비(제조)</t>
  </si>
  <si>
    <t>소모품비-소모성소모품관리비(제조)</t>
  </si>
  <si>
    <t>지급수수료(제조)</t>
  </si>
  <si>
    <t>제수수료(제조)</t>
  </si>
  <si>
    <t>용역비(제조)</t>
  </si>
  <si>
    <t>용역비-기타(제조)</t>
  </si>
  <si>
    <t>SM_SAO</t>
  </si>
  <si>
    <t>송도공장 제조팀</t>
  </si>
  <si>
    <t>복리후생비-직원이전비(제조)</t>
  </si>
  <si>
    <t>복리후생비-통근비(제조)</t>
  </si>
  <si>
    <t>감가상각비-산업재산권(제조)</t>
  </si>
  <si>
    <t>감가상각비-비품(제조)</t>
  </si>
  <si>
    <t>수선비-건물(제조)</t>
  </si>
  <si>
    <t>수선비-기계장치(제조)</t>
  </si>
  <si>
    <t>도서문구비-도서비(제조)</t>
  </si>
  <si>
    <t>소모품비-소모성기구비(제조)</t>
  </si>
  <si>
    <t>소모품비-소모성소모품비(제조)</t>
  </si>
  <si>
    <t>SM_SDO</t>
  </si>
  <si>
    <t>송도공장 생산지원팀</t>
  </si>
  <si>
    <t>복리후생비-의료위생비(제조)</t>
  </si>
  <si>
    <t>복리후생비-피복제비(제조)</t>
  </si>
  <si>
    <t>복리후생비-후생비(제조)</t>
  </si>
  <si>
    <t>통신비(제조)</t>
  </si>
  <si>
    <t>통신비-전화료(제조)</t>
  </si>
  <si>
    <t>통신비-우편전보료(제조)</t>
  </si>
  <si>
    <t>통신비-정보통신사용료(제조)</t>
  </si>
  <si>
    <t>세금과공과(제조)</t>
  </si>
  <si>
    <t>세금과공과-종업원분소득세(제조)</t>
  </si>
  <si>
    <t>세금과공과-주민세(제조)</t>
  </si>
  <si>
    <t>세금과공과-재산세(제조)</t>
  </si>
  <si>
    <t>세금과공과-면허세(제조)</t>
  </si>
  <si>
    <t>세금과공과-기타제세(제조)</t>
  </si>
  <si>
    <t>세금과공과-협회비(제조)</t>
  </si>
  <si>
    <t>지급임차료(제조)</t>
  </si>
  <si>
    <t>지급임차료-건물임차료(제조)</t>
  </si>
  <si>
    <t>지급임차료-토지임차료(제조)</t>
  </si>
  <si>
    <t>지급임차료-차량렌트료(제조)</t>
  </si>
  <si>
    <t>감가상각비-건물(제조)</t>
  </si>
  <si>
    <t>감가상각비-차량운반구(제조)</t>
  </si>
  <si>
    <t>보험료(제조)</t>
  </si>
  <si>
    <t>보험료-건물(제조)</t>
  </si>
  <si>
    <t>보험료-기계장치(제조)</t>
  </si>
  <si>
    <t>보험료-재고품(제조)</t>
  </si>
  <si>
    <t>보험료-제보험(제조)</t>
  </si>
  <si>
    <t>차량비(제조)</t>
  </si>
  <si>
    <t>차량비-관리비(제조)</t>
  </si>
  <si>
    <t>차량비-유류비(제조)</t>
  </si>
  <si>
    <t>차량비-주행주차비(제조)</t>
  </si>
  <si>
    <t>도서문구비-정기구독료(제조)</t>
  </si>
  <si>
    <t>용역비-전산(제조)</t>
  </si>
  <si>
    <t>용역비-시설관리(제조)</t>
  </si>
  <si>
    <t>업무추진비(제조)</t>
  </si>
  <si>
    <t>업무추진비-업무추진비(제조)</t>
  </si>
  <si>
    <t>SM_SHO</t>
  </si>
  <si>
    <t>송도공장 설비관리팀</t>
  </si>
  <si>
    <t>여비교통비-해외출장비(제조)</t>
  </si>
  <si>
    <t>여비교통비-해외여비(제조)</t>
  </si>
  <si>
    <t>수도광열비(제조)</t>
  </si>
  <si>
    <t>수도광열비-수도료(제조)</t>
  </si>
  <si>
    <t>수도광열비-전력료(제조)</t>
  </si>
  <si>
    <t>수도광열비-연료난방비(제조)</t>
  </si>
  <si>
    <t>세금과공과-공과금(제조)</t>
  </si>
  <si>
    <t>SM_SMF</t>
  </si>
  <si>
    <t>송도공장</t>
  </si>
  <si>
    <t>접대비(제조)</t>
  </si>
  <si>
    <t>접대비-사외경조비(제조)</t>
  </si>
  <si>
    <t>SM_SQA</t>
  </si>
  <si>
    <t>품질보증실 품질보증3팀</t>
  </si>
  <si>
    <t>세금과공과-인지세(제조)</t>
  </si>
  <si>
    <t>경상연구개발비-품질검정비(제조)</t>
  </si>
  <si>
    <t>운반비(제조)</t>
  </si>
  <si>
    <t>운반비-운임(제조)</t>
  </si>
  <si>
    <t>SM_SVO</t>
  </si>
  <si>
    <t>송도공장 밸리데이션팀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</si>
</sst>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238"/>
      <scheme val="minor"/>
    </font>
    <font>
      <sz val="11"/>
      <color theme="1"/>
      <name val="맑은 고딕"/>
      <family val="2"/>
      <charset val="238"/>
      <scheme val="minor"/>
    </font>
    <font>
      <b/>
      <sz val="18"/>
      <color theme="3"/>
      <name val="맑은 고딕"/>
      <family val="2"/>
      <charset val="238"/>
      <scheme val="major"/>
    </font>
    <font>
      <b/>
      <sz val="15"/>
      <color theme="3"/>
      <name val="맑은 고딕"/>
      <family val="2"/>
      <charset val="238"/>
      <scheme val="minor"/>
    </font>
    <font>
      <b/>
      <sz val="13"/>
      <color theme="3"/>
      <name val="맑은 고딕"/>
      <family val="2"/>
      <charset val="238"/>
      <scheme val="minor"/>
    </font>
    <font>
      <b/>
      <sz val="11"/>
      <color theme="3"/>
      <name val="맑은 고딕"/>
      <family val="2"/>
      <charset val="238"/>
      <scheme val="minor"/>
    </font>
    <font>
      <sz val="11"/>
      <color rgb="FF006100"/>
      <name val="맑은 고딕"/>
      <family val="2"/>
      <charset val="238"/>
      <scheme val="minor"/>
    </font>
    <font>
      <sz val="11"/>
      <color rgb="FF9C0006"/>
      <name val="맑은 고딕"/>
      <family val="2"/>
      <charset val="238"/>
      <scheme val="minor"/>
    </font>
    <font>
      <sz val="11"/>
      <color rgb="FF9C6500"/>
      <name val="맑은 고딕"/>
      <family val="2"/>
      <charset val="238"/>
      <scheme val="minor"/>
    </font>
    <font>
      <sz val="11"/>
      <color rgb="FF3F3F76"/>
      <name val="맑은 고딕"/>
      <family val="2"/>
      <charset val="238"/>
      <scheme val="minor"/>
    </font>
    <font>
      <b/>
      <sz val="11"/>
      <color rgb="FF3F3F3F"/>
      <name val="맑은 고딕"/>
      <family val="2"/>
      <charset val="238"/>
      <scheme val="minor"/>
    </font>
    <font>
      <b/>
      <sz val="11"/>
      <color rgb="FFFA7D00"/>
      <name val="맑은 고딕"/>
      <family val="2"/>
      <charset val="238"/>
      <scheme val="minor"/>
    </font>
    <font>
      <sz val="11"/>
      <color rgb="FFFA7D00"/>
      <name val="맑은 고딕"/>
      <family val="2"/>
      <charset val="238"/>
      <scheme val="minor"/>
    </font>
    <font>
      <b/>
      <sz val="11"/>
      <color theme="0"/>
      <name val="맑은 고딕"/>
      <family val="2"/>
      <charset val="238"/>
      <scheme val="minor"/>
    </font>
    <font>
      <sz val="11"/>
      <color rgb="FFFF0000"/>
      <name val="맑은 고딕"/>
      <family val="2"/>
      <charset val="238"/>
      <scheme val="minor"/>
    </font>
    <font>
      <i/>
      <sz val="11"/>
      <color rgb="FF7F7F7F"/>
      <name val="맑은 고딕"/>
      <family val="2"/>
      <charset val="238"/>
      <scheme val="minor"/>
    </font>
    <font>
      <b/>
      <sz val="11"/>
      <color theme="1"/>
      <name val="맑은 고딕"/>
      <family val="2"/>
      <charset val="238"/>
      <scheme val="minor"/>
    </font>
    <font>
      <sz val="11"/>
      <color theme="0"/>
      <name val="맑은 고딕"/>
      <family val="2"/>
      <charset val="238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6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"/>
  <sheetViews>
    <sheetView tabSelected="1" topLeftCell="C1" workbookViewId="0">
      <selection activeCell="T165" sqref="T165"/>
    </sheetView>
  </sheetViews>
  <sheetFormatPr defaultRowHeight="16.5" x14ac:dyDescent="0.3"/>
  <cols>
    <col min="6" max="6" width="36.875" bestFit="1" customWidth="1"/>
    <col min="7" max="13" width="12.125" bestFit="1" customWidth="1"/>
    <col min="14" max="14" width="12.125" style="1" bestFit="1" customWidth="1"/>
    <col min="15" max="17" width="12.125" bestFit="1" customWidth="1"/>
    <col min="18" max="18" width="14.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123732</v>
      </c>
      <c r="H2" s="1">
        <v>144457</v>
      </c>
      <c r="I2" s="1">
        <v>79012</v>
      </c>
      <c r="J2" s="1">
        <v>196104</v>
      </c>
      <c r="K2" s="1">
        <v>184368</v>
      </c>
      <c r="L2" s="1">
        <v>150095</v>
      </c>
      <c r="M2" s="1">
        <v>138277</v>
      </c>
      <c r="N2" s="1">
        <f>SUM(G2:M2)/7</f>
        <v>145149.28571428571</v>
      </c>
      <c r="O2" s="1">
        <f>SUM(G2:N2)/8</f>
        <v>145149.28571428571</v>
      </c>
      <c r="P2" s="1">
        <f>SUM(G2:O2)/9</f>
        <v>145149.28571428571</v>
      </c>
      <c r="Q2" s="1">
        <f>SUM(G2:P2)/10</f>
        <v>145149.28571428571</v>
      </c>
      <c r="R2" s="1">
        <f>SUM(G2:Q2)/11</f>
        <v>145149.28571428571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s="1">
        <v>38546</v>
      </c>
      <c r="H3" s="1">
        <v>824984</v>
      </c>
      <c r="I3" s="1">
        <v>721314</v>
      </c>
      <c r="J3" s="1">
        <v>0</v>
      </c>
      <c r="K3" s="1">
        <v>444098</v>
      </c>
      <c r="L3" s="1">
        <v>1136371</v>
      </c>
      <c r="M3" s="1">
        <v>59091</v>
      </c>
      <c r="N3" s="1">
        <f>SUM(G3:M3)/7</f>
        <v>460629.14285714284</v>
      </c>
      <c r="O3" s="1">
        <f>SUM(G3:N3)/8</f>
        <v>460629.14285714284</v>
      </c>
      <c r="P3" s="1">
        <f>SUM(G3:O3)/9</f>
        <v>460629.14285714284</v>
      </c>
      <c r="Q3" s="1">
        <f>SUM(G3:P3)/10</f>
        <v>460629.14285714284</v>
      </c>
      <c r="R3" s="1">
        <f>SUM(G3:Q3)/11</f>
        <v>460629.14285714278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25</v>
      </c>
      <c r="G4" s="1">
        <v>128580</v>
      </c>
      <c r="H4" s="1">
        <v>128490</v>
      </c>
      <c r="I4" s="1">
        <v>128490</v>
      </c>
      <c r="J4" s="1">
        <v>131500</v>
      </c>
      <c r="K4" s="1">
        <v>131600</v>
      </c>
      <c r="L4" s="1">
        <v>125010</v>
      </c>
      <c r="M4" s="1">
        <v>112070</v>
      </c>
      <c r="N4" s="1">
        <f t="shared" ref="N4:N67" si="0">SUM(G4:M4)/7</f>
        <v>126534.28571428571</v>
      </c>
      <c r="O4" s="1">
        <f t="shared" ref="O4:O67" si="1">SUM(G4:N4)/8</f>
        <v>126534.28571428571</v>
      </c>
      <c r="P4" s="1">
        <f t="shared" ref="P4:P67" si="2">SUM(G4:O4)/9</f>
        <v>126534.28571428571</v>
      </c>
      <c r="Q4" s="1">
        <f t="shared" ref="Q4:Q67" si="3">SUM(G4:P4)/10</f>
        <v>126534.28571428571</v>
      </c>
      <c r="R4" s="1">
        <f t="shared" ref="R4:R67" si="4">SUM(G4:Q4)/11</f>
        <v>126534.2857142857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26</v>
      </c>
      <c r="G5" s="1">
        <v>0</v>
      </c>
      <c r="H5" s="1">
        <v>0</v>
      </c>
      <c r="I5" s="1">
        <v>100000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14285.714285714286</v>
      </c>
      <c r="O5" s="1">
        <f t="shared" si="1"/>
        <v>14285.714285714286</v>
      </c>
      <c r="P5" s="1">
        <f t="shared" si="2"/>
        <v>14285.714285714286</v>
      </c>
      <c r="Q5" s="1">
        <f t="shared" si="3"/>
        <v>14285.714285714286</v>
      </c>
      <c r="R5" s="1">
        <f t="shared" si="4"/>
        <v>14285.714285714288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27</v>
      </c>
      <c r="G6" s="1">
        <v>10807830</v>
      </c>
      <c r="H6" s="1">
        <v>11299230</v>
      </c>
      <c r="I6" s="1">
        <v>10888400</v>
      </c>
      <c r="J6" s="1">
        <v>14837610</v>
      </c>
      <c r="K6" s="1">
        <v>11174960</v>
      </c>
      <c r="L6" s="1">
        <v>11190990</v>
      </c>
      <c r="M6" s="1">
        <v>9553990</v>
      </c>
      <c r="N6" s="1">
        <f t="shared" si="0"/>
        <v>11393287.142857144</v>
      </c>
      <c r="O6" s="1">
        <f t="shared" si="1"/>
        <v>11393287.142857144</v>
      </c>
      <c r="P6" s="1">
        <f t="shared" si="2"/>
        <v>11393287.142857144</v>
      </c>
      <c r="Q6" s="1">
        <f t="shared" si="3"/>
        <v>11393287.142857146</v>
      </c>
      <c r="R6" s="1">
        <f t="shared" si="4"/>
        <v>11393287.142857146</v>
      </c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E7" t="s">
        <v>28</v>
      </c>
      <c r="F7" t="s">
        <v>29</v>
      </c>
      <c r="G7" s="1">
        <v>21500</v>
      </c>
      <c r="H7" s="1">
        <v>0</v>
      </c>
      <c r="I7" s="1">
        <v>14002</v>
      </c>
      <c r="J7" s="1">
        <v>0</v>
      </c>
      <c r="K7" s="1">
        <v>99455</v>
      </c>
      <c r="L7" s="1">
        <v>69610</v>
      </c>
      <c r="M7" s="1">
        <v>23200</v>
      </c>
      <c r="N7" s="1">
        <f t="shared" si="0"/>
        <v>32538.142857142859</v>
      </c>
      <c r="O7" s="1">
        <f t="shared" si="1"/>
        <v>32538.142857142859</v>
      </c>
      <c r="P7" s="1">
        <f t="shared" si="2"/>
        <v>32538.142857142859</v>
      </c>
      <c r="Q7" s="1">
        <f t="shared" si="3"/>
        <v>32538.142857142859</v>
      </c>
      <c r="R7" s="1">
        <f t="shared" si="4"/>
        <v>32538.142857142855</v>
      </c>
    </row>
    <row r="8" spans="1:18" x14ac:dyDescent="0.3">
      <c r="A8" t="s">
        <v>18</v>
      </c>
      <c r="B8" t="s">
        <v>19</v>
      </c>
      <c r="C8" t="s">
        <v>20</v>
      </c>
      <c r="D8" t="s">
        <v>21</v>
      </c>
      <c r="E8" t="s">
        <v>28</v>
      </c>
      <c r="F8" t="s">
        <v>30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f t="shared" si="0"/>
        <v>0</v>
      </c>
      <c r="O8" s="1">
        <f t="shared" si="1"/>
        <v>0</v>
      </c>
      <c r="P8" s="1">
        <f t="shared" si="2"/>
        <v>0</v>
      </c>
      <c r="Q8" s="1">
        <f t="shared" si="3"/>
        <v>0</v>
      </c>
      <c r="R8" s="1">
        <f t="shared" si="4"/>
        <v>0</v>
      </c>
    </row>
    <row r="9" spans="1:18" x14ac:dyDescent="0.3">
      <c r="A9" t="s">
        <v>18</v>
      </c>
      <c r="B9" t="s">
        <v>19</v>
      </c>
      <c r="C9" t="s">
        <v>20</v>
      </c>
      <c r="D9" t="s">
        <v>21</v>
      </c>
      <c r="E9" t="s">
        <v>31</v>
      </c>
      <c r="F9" t="s">
        <v>32</v>
      </c>
      <c r="G9" s="1">
        <v>17818185</v>
      </c>
      <c r="H9" s="1">
        <v>17818185</v>
      </c>
      <c r="I9" s="1">
        <v>17818185</v>
      </c>
      <c r="J9" s="1">
        <v>17818185</v>
      </c>
      <c r="K9" s="1">
        <v>17818185</v>
      </c>
      <c r="L9" s="1">
        <v>17818185</v>
      </c>
      <c r="M9" s="1">
        <v>17818185</v>
      </c>
      <c r="N9" s="1">
        <f t="shared" si="0"/>
        <v>17818185</v>
      </c>
      <c r="O9" s="1">
        <f t="shared" si="1"/>
        <v>17818185</v>
      </c>
      <c r="P9" s="1">
        <f t="shared" si="2"/>
        <v>17818185</v>
      </c>
      <c r="Q9" s="1">
        <f t="shared" si="3"/>
        <v>17818185</v>
      </c>
      <c r="R9" s="1">
        <f t="shared" si="4"/>
        <v>17818185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  <c r="E10" t="s">
        <v>31</v>
      </c>
      <c r="F10" t="s">
        <v>33</v>
      </c>
      <c r="G10" s="1">
        <v>38115697</v>
      </c>
      <c r="H10" s="1">
        <v>38115697</v>
      </c>
      <c r="I10" s="1">
        <v>38115697</v>
      </c>
      <c r="J10" s="1">
        <v>38115697</v>
      </c>
      <c r="K10" s="1">
        <v>38115697</v>
      </c>
      <c r="L10" s="1">
        <v>38115697</v>
      </c>
      <c r="M10" s="1">
        <v>38115697</v>
      </c>
      <c r="N10" s="1">
        <f t="shared" si="0"/>
        <v>38115697</v>
      </c>
      <c r="O10" s="1">
        <f t="shared" si="1"/>
        <v>38115697</v>
      </c>
      <c r="P10" s="1">
        <f t="shared" si="2"/>
        <v>38115697</v>
      </c>
      <c r="Q10" s="1">
        <f t="shared" si="3"/>
        <v>38115697</v>
      </c>
      <c r="R10" s="1">
        <f t="shared" si="4"/>
        <v>38115697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 t="s">
        <v>34</v>
      </c>
      <c r="F11" t="s">
        <v>35</v>
      </c>
      <c r="G11" s="1">
        <v>1665000</v>
      </c>
      <c r="H11" s="1">
        <v>16254000</v>
      </c>
      <c r="I11" s="1">
        <v>31732527</v>
      </c>
      <c r="J11" s="1">
        <v>11493881</v>
      </c>
      <c r="K11" s="1">
        <v>51771000</v>
      </c>
      <c r="L11" s="1">
        <v>12421500</v>
      </c>
      <c r="M11" s="1">
        <v>0</v>
      </c>
      <c r="N11" s="1">
        <f t="shared" si="0"/>
        <v>17905415.428571429</v>
      </c>
      <c r="O11" s="1">
        <f t="shared" si="1"/>
        <v>17905415.428571429</v>
      </c>
      <c r="P11" s="1">
        <f t="shared" si="2"/>
        <v>17905415.428571429</v>
      </c>
      <c r="Q11" s="1">
        <f t="shared" si="3"/>
        <v>17905415.428571429</v>
      </c>
      <c r="R11" s="1">
        <f t="shared" si="4"/>
        <v>17905415.428571429</v>
      </c>
    </row>
    <row r="12" spans="1:18" x14ac:dyDescent="0.3">
      <c r="A12" t="s">
        <v>18</v>
      </c>
      <c r="B12" t="s">
        <v>19</v>
      </c>
      <c r="C12" t="s">
        <v>20</v>
      </c>
      <c r="D12" t="s">
        <v>21</v>
      </c>
      <c r="E12" t="s">
        <v>34</v>
      </c>
      <c r="F12" t="s">
        <v>36</v>
      </c>
      <c r="G12" s="1">
        <v>0</v>
      </c>
      <c r="H12" s="1">
        <v>0</v>
      </c>
      <c r="I12" s="1">
        <v>7000000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 t="shared" si="2"/>
        <v>777777.77777777775</v>
      </c>
      <c r="Q12" s="1">
        <v>0</v>
      </c>
      <c r="R12" s="1">
        <f t="shared" si="4"/>
        <v>707070.70707070711</v>
      </c>
    </row>
    <row r="13" spans="1:18" x14ac:dyDescent="0.3">
      <c r="A13" t="s">
        <v>18</v>
      </c>
      <c r="B13" t="s">
        <v>19</v>
      </c>
      <c r="C13" t="s">
        <v>20</v>
      </c>
      <c r="D13" t="s">
        <v>21</v>
      </c>
      <c r="E13" t="s">
        <v>37</v>
      </c>
      <c r="F13" t="s">
        <v>38</v>
      </c>
      <c r="G13" s="1">
        <v>191608</v>
      </c>
      <c r="H13" s="1">
        <v>2426086</v>
      </c>
      <c r="I13" s="1">
        <v>54780</v>
      </c>
      <c r="J13" s="1">
        <v>32739</v>
      </c>
      <c r="K13" s="1">
        <v>218182</v>
      </c>
      <c r="L13" s="1">
        <v>112151</v>
      </c>
      <c r="M13" s="1">
        <v>373019</v>
      </c>
      <c r="N13" s="1">
        <f t="shared" si="0"/>
        <v>486937.85714285716</v>
      </c>
      <c r="O13" s="1">
        <f t="shared" si="1"/>
        <v>486937.85714285716</v>
      </c>
      <c r="P13" s="1">
        <f t="shared" si="2"/>
        <v>486937.85714285716</v>
      </c>
      <c r="Q13" s="1">
        <f t="shared" si="3"/>
        <v>486937.85714285716</v>
      </c>
      <c r="R13" s="1">
        <f t="shared" si="4"/>
        <v>486937.85714285722</v>
      </c>
    </row>
    <row r="14" spans="1:18" x14ac:dyDescent="0.3">
      <c r="A14" t="s">
        <v>18</v>
      </c>
      <c r="B14" t="s">
        <v>19</v>
      </c>
      <c r="C14" t="s">
        <v>20</v>
      </c>
      <c r="D14" t="s">
        <v>21</v>
      </c>
      <c r="E14" t="s">
        <v>37</v>
      </c>
      <c r="F14" t="s">
        <v>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f t="shared" si="0"/>
        <v>0</v>
      </c>
      <c r="O14" s="1">
        <f t="shared" si="1"/>
        <v>0</v>
      </c>
      <c r="P14" s="1">
        <f t="shared" si="2"/>
        <v>0</v>
      </c>
      <c r="Q14" s="1">
        <f t="shared" si="3"/>
        <v>0</v>
      </c>
      <c r="R14" s="1">
        <f t="shared" si="4"/>
        <v>0</v>
      </c>
    </row>
    <row r="15" spans="1:18" x14ac:dyDescent="0.3">
      <c r="A15" t="s">
        <v>18</v>
      </c>
      <c r="B15" t="s">
        <v>19</v>
      </c>
      <c r="C15" t="s">
        <v>20</v>
      </c>
      <c r="D15" t="s">
        <v>21</v>
      </c>
      <c r="E15" t="s">
        <v>37</v>
      </c>
      <c r="F15" t="s">
        <v>40</v>
      </c>
      <c r="G15" s="1">
        <v>44023000</v>
      </c>
      <c r="H15" s="1">
        <v>18539000</v>
      </c>
      <c r="I15" s="1">
        <v>25577300</v>
      </c>
      <c r="J15" s="1">
        <v>27712880</v>
      </c>
      <c r="K15" s="1">
        <v>32891500</v>
      </c>
      <c r="L15" s="1">
        <v>28896664</v>
      </c>
      <c r="M15" s="1">
        <v>16140800</v>
      </c>
      <c r="N15" s="1">
        <f t="shared" si="0"/>
        <v>27683020.571428571</v>
      </c>
      <c r="O15" s="1">
        <f t="shared" si="1"/>
        <v>27683020.571428571</v>
      </c>
      <c r="P15" s="1">
        <f t="shared" si="2"/>
        <v>27683020.571428571</v>
      </c>
      <c r="Q15" s="1">
        <f t="shared" si="3"/>
        <v>27683020.571428575</v>
      </c>
      <c r="R15" s="1">
        <f t="shared" si="4"/>
        <v>27683020.571428575</v>
      </c>
    </row>
    <row r="16" spans="1:18" x14ac:dyDescent="0.3">
      <c r="A16" t="s">
        <v>18</v>
      </c>
      <c r="B16" t="s">
        <v>19</v>
      </c>
      <c r="C16" t="s">
        <v>20</v>
      </c>
      <c r="D16" t="s">
        <v>21</v>
      </c>
      <c r="E16" t="s">
        <v>37</v>
      </c>
      <c r="F16" t="s">
        <v>41</v>
      </c>
      <c r="G16" s="1">
        <v>12070040</v>
      </c>
      <c r="H16" s="1">
        <v>10899120</v>
      </c>
      <c r="I16" s="1">
        <v>21925600</v>
      </c>
      <c r="J16" s="1">
        <v>13491500</v>
      </c>
      <c r="K16" s="1">
        <v>20123600</v>
      </c>
      <c r="L16" s="1">
        <v>13898450</v>
      </c>
      <c r="M16" s="1">
        <v>21020700</v>
      </c>
      <c r="N16" s="1">
        <f t="shared" si="0"/>
        <v>16204144.285714285</v>
      </c>
      <c r="O16" s="1">
        <f t="shared" si="1"/>
        <v>16204144.285714285</v>
      </c>
      <c r="P16" s="1">
        <f t="shared" si="2"/>
        <v>16204144.285714285</v>
      </c>
      <c r="Q16" s="1">
        <f t="shared" si="3"/>
        <v>16204144.285714287</v>
      </c>
      <c r="R16" s="1">
        <f t="shared" si="4"/>
        <v>16204144.285714287</v>
      </c>
    </row>
    <row r="17" spans="1:18" x14ac:dyDescent="0.3">
      <c r="A17" t="s">
        <v>18</v>
      </c>
      <c r="B17" t="s">
        <v>19</v>
      </c>
      <c r="C17" t="s">
        <v>20</v>
      </c>
      <c r="D17" t="s">
        <v>21</v>
      </c>
      <c r="E17" t="s">
        <v>42</v>
      </c>
      <c r="F17" t="s">
        <v>43</v>
      </c>
      <c r="G17" s="1">
        <v>22728</v>
      </c>
      <c r="H17" s="1">
        <v>0</v>
      </c>
      <c r="I17" s="1">
        <v>0</v>
      </c>
      <c r="J17" s="1">
        <v>240000</v>
      </c>
      <c r="K17" s="1">
        <v>0</v>
      </c>
      <c r="L17" s="1">
        <v>240000</v>
      </c>
      <c r="M17" s="1">
        <v>280000</v>
      </c>
      <c r="N17" s="1">
        <f t="shared" si="0"/>
        <v>111818.28571428571</v>
      </c>
      <c r="O17" s="1">
        <v>0</v>
      </c>
      <c r="P17" s="1">
        <f t="shared" si="2"/>
        <v>99394.031746031746</v>
      </c>
      <c r="Q17" s="1">
        <v>0</v>
      </c>
      <c r="R17" s="1">
        <f t="shared" si="4"/>
        <v>90358.210678210671</v>
      </c>
    </row>
    <row r="18" spans="1:18" x14ac:dyDescent="0.3">
      <c r="A18" t="s">
        <v>18</v>
      </c>
      <c r="B18" t="s">
        <v>19</v>
      </c>
      <c r="C18" t="s">
        <v>20</v>
      </c>
      <c r="D18" t="s">
        <v>21</v>
      </c>
      <c r="E18" t="s">
        <v>44</v>
      </c>
      <c r="F18" t="s">
        <v>45</v>
      </c>
      <c r="G18" s="1">
        <v>1337520</v>
      </c>
      <c r="H18" s="1">
        <v>681060</v>
      </c>
      <c r="I18" s="1">
        <v>1216000</v>
      </c>
      <c r="J18" s="1">
        <v>224140</v>
      </c>
      <c r="K18" s="1">
        <v>407200</v>
      </c>
      <c r="L18" s="1">
        <v>2538400</v>
      </c>
      <c r="M18" s="1">
        <v>650000</v>
      </c>
      <c r="N18" s="1">
        <f t="shared" si="0"/>
        <v>1007760</v>
      </c>
      <c r="O18" s="1">
        <f t="shared" si="1"/>
        <v>1007760</v>
      </c>
      <c r="P18" s="1">
        <f t="shared" si="2"/>
        <v>1007760</v>
      </c>
      <c r="Q18" s="1">
        <f t="shared" si="3"/>
        <v>1007760</v>
      </c>
      <c r="R18" s="1">
        <f t="shared" si="4"/>
        <v>1007760</v>
      </c>
    </row>
    <row r="19" spans="1:18" x14ac:dyDescent="0.3">
      <c r="A19" t="s">
        <v>18</v>
      </c>
      <c r="B19" t="s">
        <v>19</v>
      </c>
      <c r="C19" t="s">
        <v>20</v>
      </c>
      <c r="D19" t="s">
        <v>21</v>
      </c>
      <c r="E19" t="s">
        <v>46</v>
      </c>
      <c r="F19" t="s">
        <v>47</v>
      </c>
      <c r="G19" s="1">
        <v>1419000</v>
      </c>
      <c r="H19" s="1">
        <v>0</v>
      </c>
      <c r="I19" s="1">
        <v>0</v>
      </c>
      <c r="J19" s="1">
        <v>0</v>
      </c>
      <c r="K19" s="1">
        <v>250000</v>
      </c>
      <c r="L19" s="1">
        <v>831000</v>
      </c>
      <c r="M19" s="1">
        <v>1201000</v>
      </c>
      <c r="N19" s="1">
        <f t="shared" si="0"/>
        <v>528714.28571428568</v>
      </c>
      <c r="O19" s="1">
        <f t="shared" si="1"/>
        <v>528714.28571428568</v>
      </c>
      <c r="P19" s="1">
        <f t="shared" si="2"/>
        <v>528714.28571428568</v>
      </c>
      <c r="Q19" s="1">
        <f t="shared" si="3"/>
        <v>528714.28571428568</v>
      </c>
      <c r="R19" s="1">
        <f t="shared" si="4"/>
        <v>528714.28571428556</v>
      </c>
    </row>
    <row r="20" spans="1:18" x14ac:dyDescent="0.3">
      <c r="A20" t="s">
        <v>18</v>
      </c>
      <c r="B20" t="s">
        <v>19</v>
      </c>
      <c r="C20" t="s">
        <v>20</v>
      </c>
      <c r="D20" t="s">
        <v>21</v>
      </c>
      <c r="E20" t="s">
        <v>48</v>
      </c>
      <c r="F20" t="s">
        <v>49</v>
      </c>
      <c r="G20" s="1">
        <v>2590500</v>
      </c>
      <c r="H20" s="1">
        <v>0</v>
      </c>
      <c r="I20" s="1">
        <v>272000</v>
      </c>
      <c r="J20" s="1">
        <v>882500</v>
      </c>
      <c r="K20" s="1">
        <v>166250</v>
      </c>
      <c r="L20" s="1">
        <v>792000</v>
      </c>
      <c r="M20" s="1">
        <v>2817550</v>
      </c>
      <c r="N20" s="1">
        <f t="shared" si="0"/>
        <v>1074400</v>
      </c>
      <c r="O20" s="1">
        <f t="shared" si="1"/>
        <v>1074400</v>
      </c>
      <c r="P20" s="1">
        <f t="shared" si="2"/>
        <v>1074400</v>
      </c>
      <c r="Q20" s="1">
        <f t="shared" si="3"/>
        <v>1074400</v>
      </c>
      <c r="R20" s="1">
        <f t="shared" si="4"/>
        <v>1074400</v>
      </c>
    </row>
    <row r="21" spans="1:18" x14ac:dyDescent="0.3">
      <c r="A21" t="s">
        <v>18</v>
      </c>
      <c r="B21" t="s">
        <v>19</v>
      </c>
      <c r="C21" t="s">
        <v>20</v>
      </c>
      <c r="D21" t="s">
        <v>21</v>
      </c>
      <c r="E21" t="s">
        <v>50</v>
      </c>
      <c r="F21" t="s">
        <v>51</v>
      </c>
      <c r="G21" s="1">
        <v>0</v>
      </c>
      <c r="H21" s="1">
        <v>0</v>
      </c>
      <c r="I21" s="1">
        <v>0</v>
      </c>
      <c r="J21" s="1">
        <v>4364</v>
      </c>
      <c r="K21" s="1">
        <v>8000</v>
      </c>
      <c r="L21" s="1">
        <v>14182</v>
      </c>
      <c r="M21" s="1">
        <v>7091</v>
      </c>
      <c r="N21" s="1">
        <f t="shared" si="0"/>
        <v>4805.2857142857147</v>
      </c>
      <c r="O21" s="1">
        <f t="shared" si="1"/>
        <v>4805.2857142857147</v>
      </c>
      <c r="P21" s="1">
        <f t="shared" si="2"/>
        <v>4805.2857142857147</v>
      </c>
      <c r="Q21" s="1">
        <f t="shared" si="3"/>
        <v>4805.2857142857156</v>
      </c>
      <c r="R21" s="1">
        <f t="shared" si="4"/>
        <v>4805.2857142857156</v>
      </c>
    </row>
    <row r="22" spans="1:18" x14ac:dyDescent="0.3">
      <c r="A22" t="s">
        <v>18</v>
      </c>
      <c r="B22" t="s">
        <v>19</v>
      </c>
      <c r="C22" t="s">
        <v>52</v>
      </c>
      <c r="D22" t="s">
        <v>53</v>
      </c>
      <c r="E22" t="s">
        <v>22</v>
      </c>
      <c r="F22" t="s">
        <v>23</v>
      </c>
      <c r="G22" s="1">
        <v>273100</v>
      </c>
      <c r="H22" s="1">
        <v>359374</v>
      </c>
      <c r="I22" s="1">
        <v>181461</v>
      </c>
      <c r="J22" s="1">
        <v>173918</v>
      </c>
      <c r="K22" s="1">
        <v>319106</v>
      </c>
      <c r="L22" s="1">
        <v>199371</v>
      </c>
      <c r="M22" s="1">
        <v>183194</v>
      </c>
      <c r="N22" s="1">
        <f t="shared" si="0"/>
        <v>241360.57142857142</v>
      </c>
      <c r="O22" s="1">
        <f t="shared" si="1"/>
        <v>241360.57142857142</v>
      </c>
      <c r="P22" s="1">
        <f t="shared" si="2"/>
        <v>241360.57142857142</v>
      </c>
      <c r="Q22" s="1">
        <f t="shared" si="3"/>
        <v>241360.57142857142</v>
      </c>
      <c r="R22" s="1">
        <f t="shared" si="4"/>
        <v>241360.57142857139</v>
      </c>
    </row>
    <row r="23" spans="1:18" x14ac:dyDescent="0.3">
      <c r="A23" t="s">
        <v>18</v>
      </c>
      <c r="B23" t="s">
        <v>19</v>
      </c>
      <c r="C23" t="s">
        <v>52</v>
      </c>
      <c r="D23" t="s">
        <v>53</v>
      </c>
      <c r="E23" t="s">
        <v>22</v>
      </c>
      <c r="F23" t="s">
        <v>24</v>
      </c>
      <c r="G23" s="1">
        <v>0</v>
      </c>
      <c r="H23" s="1">
        <v>0</v>
      </c>
      <c r="I23" s="1">
        <v>2738833</v>
      </c>
      <c r="J23" s="1">
        <v>726438</v>
      </c>
      <c r="K23" s="1">
        <v>0</v>
      </c>
      <c r="L23" s="1">
        <v>2026137</v>
      </c>
      <c r="M23" s="1">
        <v>1749275</v>
      </c>
      <c r="N23" s="1">
        <f t="shared" si="0"/>
        <v>1034383.2857142857</v>
      </c>
      <c r="O23" s="1">
        <f t="shared" si="1"/>
        <v>1034383.2857142857</v>
      </c>
      <c r="P23" s="1">
        <f t="shared" si="2"/>
        <v>1034383.2857142857</v>
      </c>
      <c r="Q23" s="1">
        <f t="shared" si="3"/>
        <v>1034383.2857142857</v>
      </c>
      <c r="R23" s="1">
        <f t="shared" si="4"/>
        <v>1034383.2857142856</v>
      </c>
    </row>
    <row r="24" spans="1:18" x14ac:dyDescent="0.3">
      <c r="A24" t="s">
        <v>18</v>
      </c>
      <c r="B24" t="s">
        <v>19</v>
      </c>
      <c r="C24" t="s">
        <v>52</v>
      </c>
      <c r="D24" t="s">
        <v>53</v>
      </c>
      <c r="E24" t="s">
        <v>22</v>
      </c>
      <c r="F24" t="s">
        <v>25</v>
      </c>
      <c r="G24" s="1">
        <v>182010</v>
      </c>
      <c r="H24" s="1">
        <v>185550</v>
      </c>
      <c r="I24" s="1">
        <v>185550</v>
      </c>
      <c r="J24" s="1">
        <v>190820</v>
      </c>
      <c r="K24" s="1">
        <v>192560</v>
      </c>
      <c r="L24" s="1">
        <v>192560</v>
      </c>
      <c r="M24" s="1">
        <v>177380</v>
      </c>
      <c r="N24" s="1">
        <f t="shared" si="0"/>
        <v>186632.85714285713</v>
      </c>
      <c r="O24" s="1">
        <f t="shared" si="1"/>
        <v>186632.85714285713</v>
      </c>
      <c r="P24" s="1">
        <f t="shared" si="2"/>
        <v>186632.85714285713</v>
      </c>
      <c r="Q24" s="1">
        <f t="shared" si="3"/>
        <v>186632.8571428571</v>
      </c>
      <c r="R24" s="1">
        <f t="shared" si="4"/>
        <v>186632.8571428571</v>
      </c>
    </row>
    <row r="25" spans="1:18" x14ac:dyDescent="0.3">
      <c r="A25" t="s">
        <v>18</v>
      </c>
      <c r="B25" t="s">
        <v>19</v>
      </c>
      <c r="C25" t="s">
        <v>52</v>
      </c>
      <c r="D25" t="s">
        <v>53</v>
      </c>
      <c r="E25" t="s">
        <v>22</v>
      </c>
      <c r="F25" t="s">
        <v>26</v>
      </c>
      <c r="G25" s="1">
        <v>0</v>
      </c>
      <c r="H25" s="1">
        <v>50000</v>
      </c>
      <c r="I25" s="1">
        <v>150000</v>
      </c>
      <c r="J25" s="1">
        <v>0</v>
      </c>
      <c r="K25" s="1">
        <v>0</v>
      </c>
      <c r="L25" s="1">
        <v>200000</v>
      </c>
      <c r="M25" s="1">
        <v>0</v>
      </c>
      <c r="N25" s="1">
        <f t="shared" si="0"/>
        <v>57142.857142857145</v>
      </c>
      <c r="O25" s="1">
        <f t="shared" si="1"/>
        <v>57142.857142857145</v>
      </c>
      <c r="P25" s="1">
        <f t="shared" si="2"/>
        <v>57142.857142857145</v>
      </c>
      <c r="Q25" s="1">
        <f t="shared" si="3"/>
        <v>57142.857142857145</v>
      </c>
      <c r="R25" s="1">
        <f t="shared" si="4"/>
        <v>57142.857142857152</v>
      </c>
    </row>
    <row r="26" spans="1:18" x14ac:dyDescent="0.3">
      <c r="A26" t="s">
        <v>18</v>
      </c>
      <c r="B26" t="s">
        <v>19</v>
      </c>
      <c r="C26" t="s">
        <v>52</v>
      </c>
      <c r="D26" t="s">
        <v>53</v>
      </c>
      <c r="E26" t="s">
        <v>22</v>
      </c>
      <c r="F26" t="s">
        <v>54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f t="shared" si="0"/>
        <v>0</v>
      </c>
      <c r="O26" s="1">
        <f t="shared" si="1"/>
        <v>0</v>
      </c>
      <c r="P26" s="1">
        <f t="shared" si="2"/>
        <v>0</v>
      </c>
      <c r="Q26" s="1">
        <f t="shared" si="3"/>
        <v>0</v>
      </c>
      <c r="R26" s="1">
        <f t="shared" si="4"/>
        <v>0</v>
      </c>
    </row>
    <row r="27" spans="1:18" x14ac:dyDescent="0.3">
      <c r="A27" t="s">
        <v>18</v>
      </c>
      <c r="B27" t="s">
        <v>19</v>
      </c>
      <c r="C27" t="s">
        <v>52</v>
      </c>
      <c r="D27" t="s">
        <v>53</v>
      </c>
      <c r="E27" t="s">
        <v>22</v>
      </c>
      <c r="F27" t="s">
        <v>55</v>
      </c>
      <c r="G27" s="1">
        <v>101200</v>
      </c>
      <c r="H27" s="1">
        <v>0</v>
      </c>
      <c r="I27" s="1">
        <v>184400</v>
      </c>
      <c r="J27" s="1">
        <v>0</v>
      </c>
      <c r="K27" s="1">
        <v>0</v>
      </c>
      <c r="L27" s="1">
        <v>0</v>
      </c>
      <c r="M27" s="1">
        <v>0</v>
      </c>
      <c r="N27" s="1">
        <f t="shared" si="0"/>
        <v>40800</v>
      </c>
      <c r="O27" s="1">
        <f t="shared" si="1"/>
        <v>40800</v>
      </c>
      <c r="P27" s="1">
        <f t="shared" si="2"/>
        <v>40800</v>
      </c>
      <c r="Q27" s="1">
        <f t="shared" si="3"/>
        <v>40800</v>
      </c>
      <c r="R27" s="1">
        <f t="shared" si="4"/>
        <v>40800</v>
      </c>
    </row>
    <row r="28" spans="1:18" x14ac:dyDescent="0.3">
      <c r="A28" t="s">
        <v>18</v>
      </c>
      <c r="B28" t="s">
        <v>19</v>
      </c>
      <c r="C28" t="s">
        <v>52</v>
      </c>
      <c r="D28" t="s">
        <v>53</v>
      </c>
      <c r="E28" t="s">
        <v>22</v>
      </c>
      <c r="F28" t="s">
        <v>27</v>
      </c>
      <c r="G28" s="1">
        <v>17198290</v>
      </c>
      <c r="H28" s="1">
        <v>16482470</v>
      </c>
      <c r="I28" s="1">
        <v>16482470</v>
      </c>
      <c r="J28" s="1">
        <v>19274360</v>
      </c>
      <c r="K28" s="1">
        <v>15737080</v>
      </c>
      <c r="L28" s="1">
        <v>16758070</v>
      </c>
      <c r="M28" s="1">
        <v>15617930</v>
      </c>
      <c r="N28" s="1">
        <f t="shared" si="0"/>
        <v>16792952.857142858</v>
      </c>
      <c r="O28" s="1">
        <f t="shared" si="1"/>
        <v>16792952.857142858</v>
      </c>
      <c r="P28" s="1">
        <f t="shared" si="2"/>
        <v>16792952.857142858</v>
      </c>
      <c r="Q28" s="1">
        <f t="shared" si="3"/>
        <v>16792952.857142858</v>
      </c>
      <c r="R28" s="1">
        <f t="shared" si="4"/>
        <v>16792952.857142862</v>
      </c>
    </row>
    <row r="29" spans="1:18" x14ac:dyDescent="0.3">
      <c r="A29" t="s">
        <v>18</v>
      </c>
      <c r="B29" t="s">
        <v>19</v>
      </c>
      <c r="C29" t="s">
        <v>52</v>
      </c>
      <c r="D29" t="s">
        <v>53</v>
      </c>
      <c r="E29" t="s">
        <v>28</v>
      </c>
      <c r="F29" t="s">
        <v>29</v>
      </c>
      <c r="G29" s="1">
        <v>66410</v>
      </c>
      <c r="H29" s="1">
        <v>41900</v>
      </c>
      <c r="I29" s="1">
        <v>181816</v>
      </c>
      <c r="J29" s="1">
        <v>97319</v>
      </c>
      <c r="K29" s="1">
        <v>100507</v>
      </c>
      <c r="L29" s="1">
        <v>82715</v>
      </c>
      <c r="M29" s="1">
        <v>57770</v>
      </c>
      <c r="N29" s="1">
        <f t="shared" si="0"/>
        <v>89776.71428571429</v>
      </c>
      <c r="O29" s="1">
        <f t="shared" si="1"/>
        <v>89776.71428571429</v>
      </c>
      <c r="P29" s="1">
        <f t="shared" si="2"/>
        <v>89776.71428571429</v>
      </c>
      <c r="Q29" s="1">
        <f t="shared" si="3"/>
        <v>89776.71428571429</v>
      </c>
      <c r="R29" s="1">
        <f t="shared" si="4"/>
        <v>89776.714285714304</v>
      </c>
    </row>
    <row r="30" spans="1:18" x14ac:dyDescent="0.3">
      <c r="A30" t="s">
        <v>18</v>
      </c>
      <c r="B30" t="s">
        <v>19</v>
      </c>
      <c r="C30" t="s">
        <v>52</v>
      </c>
      <c r="D30" t="s">
        <v>53</v>
      </c>
      <c r="E30" t="s">
        <v>28</v>
      </c>
      <c r="F30" t="s">
        <v>30</v>
      </c>
      <c r="G30" s="1">
        <v>0</v>
      </c>
      <c r="H30" s="1">
        <v>10000</v>
      </c>
      <c r="I30" s="1">
        <v>134913</v>
      </c>
      <c r="J30" s="1">
        <v>20954</v>
      </c>
      <c r="K30" s="1">
        <v>0</v>
      </c>
      <c r="L30" s="1">
        <v>0</v>
      </c>
      <c r="M30" s="1">
        <v>0</v>
      </c>
      <c r="N30" s="1">
        <f t="shared" si="0"/>
        <v>23695.285714285714</v>
      </c>
      <c r="O30" s="1">
        <f t="shared" si="1"/>
        <v>23695.285714285714</v>
      </c>
      <c r="P30" s="1">
        <f t="shared" si="2"/>
        <v>23695.285714285714</v>
      </c>
      <c r="Q30" s="1">
        <f t="shared" si="3"/>
        <v>23695.285714285714</v>
      </c>
      <c r="R30" s="1">
        <f t="shared" si="4"/>
        <v>23695.285714285714</v>
      </c>
    </row>
    <row r="31" spans="1:18" x14ac:dyDescent="0.3">
      <c r="A31" t="s">
        <v>18</v>
      </c>
      <c r="B31" t="s">
        <v>19</v>
      </c>
      <c r="C31" t="s">
        <v>52</v>
      </c>
      <c r="D31" t="s">
        <v>53</v>
      </c>
      <c r="E31" t="s">
        <v>31</v>
      </c>
      <c r="F31" t="s">
        <v>32</v>
      </c>
      <c r="G31" s="1">
        <v>240026302</v>
      </c>
      <c r="H31" s="1">
        <v>240026302</v>
      </c>
      <c r="I31" s="1">
        <v>240026302</v>
      </c>
      <c r="J31" s="1">
        <v>240026302</v>
      </c>
      <c r="K31" s="1">
        <v>234859652</v>
      </c>
      <c r="L31" s="1">
        <v>234859652</v>
      </c>
      <c r="M31" s="1">
        <v>234859652</v>
      </c>
      <c r="N31" s="1">
        <f t="shared" si="0"/>
        <v>237812023.42857143</v>
      </c>
      <c r="O31" s="1">
        <f t="shared" si="1"/>
        <v>237812023.42857143</v>
      </c>
      <c r="P31" s="1">
        <f t="shared" si="2"/>
        <v>237812023.42857143</v>
      </c>
      <c r="Q31" s="1">
        <f t="shared" si="3"/>
        <v>237812023.4285714</v>
      </c>
      <c r="R31" s="1">
        <f t="shared" si="4"/>
        <v>237812023.4285714</v>
      </c>
    </row>
    <row r="32" spans="1:18" x14ac:dyDescent="0.3">
      <c r="A32" t="s">
        <v>18</v>
      </c>
      <c r="B32" t="s">
        <v>19</v>
      </c>
      <c r="C32" t="s">
        <v>52</v>
      </c>
      <c r="D32" t="s">
        <v>53</v>
      </c>
      <c r="E32" t="s">
        <v>31</v>
      </c>
      <c r="F32" t="s">
        <v>33</v>
      </c>
      <c r="G32" s="1">
        <v>2831660</v>
      </c>
      <c r="H32" s="1">
        <v>2831660</v>
      </c>
      <c r="I32" s="1">
        <v>2831660</v>
      </c>
      <c r="J32" s="1">
        <v>2831660</v>
      </c>
      <c r="K32" s="1">
        <v>2831660</v>
      </c>
      <c r="L32" s="1">
        <v>2831660</v>
      </c>
      <c r="M32" s="1">
        <v>2831660</v>
      </c>
      <c r="N32" s="1">
        <f t="shared" si="0"/>
        <v>2831660</v>
      </c>
      <c r="O32" s="1">
        <f t="shared" si="1"/>
        <v>2831660</v>
      </c>
      <c r="P32" s="1">
        <f t="shared" si="2"/>
        <v>2831660</v>
      </c>
      <c r="Q32" s="1">
        <f t="shared" si="3"/>
        <v>2831660</v>
      </c>
      <c r="R32" s="1">
        <f t="shared" si="4"/>
        <v>2831660</v>
      </c>
    </row>
    <row r="33" spans="1:18" x14ac:dyDescent="0.3">
      <c r="A33" t="s">
        <v>18</v>
      </c>
      <c r="B33" t="s">
        <v>19</v>
      </c>
      <c r="C33" t="s">
        <v>52</v>
      </c>
      <c r="D33" t="s">
        <v>53</v>
      </c>
      <c r="E33" t="s">
        <v>31</v>
      </c>
      <c r="F33" t="s">
        <v>56</v>
      </c>
      <c r="G33" s="1">
        <v>0</v>
      </c>
      <c r="H33" s="1">
        <v>0</v>
      </c>
      <c r="I33" s="1">
        <v>0</v>
      </c>
      <c r="J33" s="1">
        <v>0</v>
      </c>
      <c r="K33" s="1">
        <v>1291659</v>
      </c>
      <c r="L33" s="1">
        <v>1291659</v>
      </c>
      <c r="M33" s="1">
        <v>1291659</v>
      </c>
      <c r="N33" s="1">
        <f t="shared" si="0"/>
        <v>553568.14285714284</v>
      </c>
      <c r="O33" s="1">
        <f t="shared" si="1"/>
        <v>553568.14285714284</v>
      </c>
      <c r="P33" s="1">
        <f t="shared" si="2"/>
        <v>553568.14285714284</v>
      </c>
      <c r="Q33" s="1">
        <f t="shared" si="3"/>
        <v>553568.14285714284</v>
      </c>
      <c r="R33" s="1">
        <f t="shared" si="4"/>
        <v>553568.14285714284</v>
      </c>
    </row>
    <row r="34" spans="1:18" x14ac:dyDescent="0.3">
      <c r="A34" t="s">
        <v>18</v>
      </c>
      <c r="B34" t="s">
        <v>19</v>
      </c>
      <c r="C34" t="s">
        <v>52</v>
      </c>
      <c r="D34" t="s">
        <v>53</v>
      </c>
      <c r="E34" t="s">
        <v>31</v>
      </c>
      <c r="F34" t="s">
        <v>57</v>
      </c>
      <c r="G34" s="1">
        <v>854856</v>
      </c>
      <c r="H34" s="1">
        <v>854856</v>
      </c>
      <c r="I34" s="1">
        <v>854856</v>
      </c>
      <c r="J34" s="1">
        <v>854856</v>
      </c>
      <c r="K34" s="1">
        <v>854856</v>
      </c>
      <c r="L34" s="1">
        <v>854856</v>
      </c>
      <c r="M34" s="1">
        <v>854856</v>
      </c>
      <c r="N34" s="1">
        <f t="shared" si="0"/>
        <v>854856</v>
      </c>
      <c r="O34" s="1">
        <f t="shared" si="1"/>
        <v>854856</v>
      </c>
      <c r="P34" s="1">
        <f t="shared" si="2"/>
        <v>854856</v>
      </c>
      <c r="Q34" s="1">
        <f t="shared" si="3"/>
        <v>854856</v>
      </c>
      <c r="R34" s="1">
        <f t="shared" si="4"/>
        <v>854856</v>
      </c>
    </row>
    <row r="35" spans="1:18" x14ac:dyDescent="0.3">
      <c r="A35" t="s">
        <v>18</v>
      </c>
      <c r="B35" t="s">
        <v>19</v>
      </c>
      <c r="C35" t="s">
        <v>52</v>
      </c>
      <c r="D35" t="s">
        <v>53</v>
      </c>
      <c r="E35" t="s">
        <v>34</v>
      </c>
      <c r="F35" t="s">
        <v>58</v>
      </c>
      <c r="G35" s="1">
        <v>0</v>
      </c>
      <c r="H35" s="1">
        <v>0</v>
      </c>
      <c r="I35" s="1">
        <v>0</v>
      </c>
      <c r="J35" s="1">
        <v>0</v>
      </c>
      <c r="K35" s="1">
        <v>8000000</v>
      </c>
      <c r="L35" s="1">
        <v>0</v>
      </c>
      <c r="M35" s="1">
        <v>0</v>
      </c>
      <c r="N35" s="1">
        <f t="shared" si="0"/>
        <v>1142857.142857143</v>
      </c>
      <c r="O35" s="1">
        <f t="shared" si="1"/>
        <v>1142857.142857143</v>
      </c>
      <c r="P35" s="1">
        <f t="shared" si="2"/>
        <v>1142857.142857143</v>
      </c>
      <c r="Q35" s="1">
        <f t="shared" si="3"/>
        <v>1142857.1428571432</v>
      </c>
      <c r="R35" s="1">
        <f t="shared" si="4"/>
        <v>1142857.1428571432</v>
      </c>
    </row>
    <row r="36" spans="1:18" x14ac:dyDescent="0.3">
      <c r="A36" t="s">
        <v>18</v>
      </c>
      <c r="B36" t="s">
        <v>19</v>
      </c>
      <c r="C36" t="s">
        <v>52</v>
      </c>
      <c r="D36" t="s">
        <v>53</v>
      </c>
      <c r="E36" t="s">
        <v>34</v>
      </c>
      <c r="F36" t="s">
        <v>59</v>
      </c>
      <c r="G36" s="1">
        <v>13150000</v>
      </c>
      <c r="H36" s="1">
        <v>13225755</v>
      </c>
      <c r="I36" s="1">
        <v>18375400</v>
      </c>
      <c r="J36" s="1">
        <v>11398000</v>
      </c>
      <c r="K36" s="1">
        <v>15781120</v>
      </c>
      <c r="L36" s="1">
        <v>11775300</v>
      </c>
      <c r="M36" s="1">
        <v>17290000</v>
      </c>
      <c r="N36" s="1">
        <f t="shared" si="0"/>
        <v>14427939.285714285</v>
      </c>
      <c r="O36" s="1">
        <v>0</v>
      </c>
      <c r="P36" s="1">
        <f t="shared" si="2"/>
        <v>12824834.92063492</v>
      </c>
      <c r="Q36" s="1">
        <v>0</v>
      </c>
      <c r="R36" s="1">
        <f t="shared" si="4"/>
        <v>11658940.836940838</v>
      </c>
    </row>
    <row r="37" spans="1:18" x14ac:dyDescent="0.3">
      <c r="A37" t="s">
        <v>18</v>
      </c>
      <c r="B37" t="s">
        <v>19</v>
      </c>
      <c r="C37" t="s">
        <v>52</v>
      </c>
      <c r="D37" t="s">
        <v>53</v>
      </c>
      <c r="E37" t="s">
        <v>34</v>
      </c>
      <c r="F37" t="s">
        <v>35</v>
      </c>
      <c r="G37" s="1">
        <v>252400</v>
      </c>
      <c r="H37" s="1">
        <v>197800</v>
      </c>
      <c r="I37" s="1">
        <v>4169000</v>
      </c>
      <c r="J37" s="1">
        <v>0</v>
      </c>
      <c r="K37" s="1">
        <v>921000</v>
      </c>
      <c r="L37" s="1">
        <v>0</v>
      </c>
      <c r="M37" s="1">
        <v>0</v>
      </c>
      <c r="N37" s="1">
        <f t="shared" si="0"/>
        <v>791457.14285714284</v>
      </c>
      <c r="O37" s="1">
        <f t="shared" si="1"/>
        <v>791457.14285714284</v>
      </c>
      <c r="P37" s="1">
        <f t="shared" si="2"/>
        <v>791457.14285714284</v>
      </c>
      <c r="Q37" s="1">
        <f t="shared" si="3"/>
        <v>791457.14285714284</v>
      </c>
      <c r="R37" s="1">
        <f t="shared" si="4"/>
        <v>791457.14285714284</v>
      </c>
    </row>
    <row r="38" spans="1:18" x14ac:dyDescent="0.3">
      <c r="A38" t="s">
        <v>18</v>
      </c>
      <c r="B38" t="s">
        <v>19</v>
      </c>
      <c r="C38" t="s">
        <v>52</v>
      </c>
      <c r="D38" t="s">
        <v>53</v>
      </c>
      <c r="E38" t="s">
        <v>42</v>
      </c>
      <c r="F38" t="s">
        <v>43</v>
      </c>
      <c r="G38" s="1">
        <v>0</v>
      </c>
      <c r="H38" s="1">
        <v>400001</v>
      </c>
      <c r="I38" s="1">
        <v>409091</v>
      </c>
      <c r="J38" s="1">
        <v>109091</v>
      </c>
      <c r="K38" s="1">
        <v>0</v>
      </c>
      <c r="L38" s="1">
        <v>100000</v>
      </c>
      <c r="M38" s="1">
        <v>50000</v>
      </c>
      <c r="N38" s="1">
        <f t="shared" si="0"/>
        <v>152597.57142857142</v>
      </c>
      <c r="O38" s="1">
        <f t="shared" si="1"/>
        <v>152597.57142857142</v>
      </c>
      <c r="P38" s="1">
        <f t="shared" si="2"/>
        <v>152597.57142857142</v>
      </c>
      <c r="Q38" s="1">
        <f t="shared" si="3"/>
        <v>152597.57142857142</v>
      </c>
      <c r="R38" s="1">
        <f t="shared" si="4"/>
        <v>152597.57142857139</v>
      </c>
    </row>
    <row r="39" spans="1:18" x14ac:dyDescent="0.3">
      <c r="A39" t="s">
        <v>18</v>
      </c>
      <c r="B39" t="s">
        <v>19</v>
      </c>
      <c r="C39" t="s">
        <v>52</v>
      </c>
      <c r="D39" t="s">
        <v>53</v>
      </c>
      <c r="E39" t="s">
        <v>44</v>
      </c>
      <c r="F39" t="s">
        <v>60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0"/>
        <v>0</v>
      </c>
      <c r="O39" s="1">
        <f t="shared" si="1"/>
        <v>0</v>
      </c>
      <c r="P39" s="1">
        <f t="shared" si="2"/>
        <v>0</v>
      </c>
      <c r="Q39" s="1">
        <f t="shared" si="3"/>
        <v>0</v>
      </c>
      <c r="R39" s="1">
        <f t="shared" si="4"/>
        <v>0</v>
      </c>
    </row>
    <row r="40" spans="1:18" x14ac:dyDescent="0.3">
      <c r="A40" t="s">
        <v>18</v>
      </c>
      <c r="B40" t="s">
        <v>19</v>
      </c>
      <c r="C40" t="s">
        <v>52</v>
      </c>
      <c r="D40" t="s">
        <v>53</v>
      </c>
      <c r="E40" t="s">
        <v>44</v>
      </c>
      <c r="F40" t="s">
        <v>45</v>
      </c>
      <c r="G40" s="1">
        <v>485660</v>
      </c>
      <c r="H40" s="1">
        <v>531000</v>
      </c>
      <c r="I40" s="1">
        <v>0</v>
      </c>
      <c r="J40" s="1">
        <v>535330</v>
      </c>
      <c r="K40" s="1">
        <v>903880</v>
      </c>
      <c r="L40" s="1">
        <v>2365200</v>
      </c>
      <c r="M40" s="1">
        <v>0</v>
      </c>
      <c r="N40" s="1">
        <f t="shared" si="0"/>
        <v>688724.28571428568</v>
      </c>
      <c r="O40" s="1">
        <f t="shared" si="1"/>
        <v>688724.28571428568</v>
      </c>
      <c r="P40" s="1">
        <f t="shared" si="2"/>
        <v>688724.28571428568</v>
      </c>
      <c r="Q40" s="1">
        <f t="shared" si="3"/>
        <v>688724.28571428568</v>
      </c>
      <c r="R40" s="1">
        <f t="shared" si="4"/>
        <v>688724.28571428556</v>
      </c>
    </row>
    <row r="41" spans="1:18" x14ac:dyDescent="0.3">
      <c r="A41" t="s">
        <v>18</v>
      </c>
      <c r="B41" t="s">
        <v>19</v>
      </c>
      <c r="C41" t="s">
        <v>52</v>
      </c>
      <c r="D41" t="s">
        <v>53</v>
      </c>
      <c r="E41" t="s">
        <v>46</v>
      </c>
      <c r="F41" t="s">
        <v>61</v>
      </c>
      <c r="G41" s="1">
        <v>300000</v>
      </c>
      <c r="H41" s="1">
        <v>2340000</v>
      </c>
      <c r="I41" s="1">
        <v>6585000</v>
      </c>
      <c r="J41" s="1">
        <v>11385000</v>
      </c>
      <c r="K41" s="1">
        <v>680000</v>
      </c>
      <c r="L41" s="1">
        <v>0</v>
      </c>
      <c r="M41" s="1">
        <v>5780000</v>
      </c>
      <c r="N41" s="1">
        <f t="shared" si="0"/>
        <v>3867142.8571428573</v>
      </c>
      <c r="O41" s="1">
        <f t="shared" si="1"/>
        <v>3867142.8571428573</v>
      </c>
      <c r="P41" s="1">
        <f t="shared" si="2"/>
        <v>3867142.8571428573</v>
      </c>
      <c r="Q41" s="1">
        <f t="shared" si="3"/>
        <v>3867142.8571428573</v>
      </c>
      <c r="R41" s="1">
        <f t="shared" si="4"/>
        <v>3867142.8571428577</v>
      </c>
    </row>
    <row r="42" spans="1:18" x14ac:dyDescent="0.3">
      <c r="A42" t="s">
        <v>18</v>
      </c>
      <c r="B42" t="s">
        <v>19</v>
      </c>
      <c r="C42" t="s">
        <v>52</v>
      </c>
      <c r="D42" t="s">
        <v>53</v>
      </c>
      <c r="E42" t="s">
        <v>46</v>
      </c>
      <c r="F42" t="s">
        <v>62</v>
      </c>
      <c r="G42" s="1">
        <v>2961021</v>
      </c>
      <c r="H42" s="1">
        <v>638659</v>
      </c>
      <c r="I42" s="1">
        <v>2532878</v>
      </c>
      <c r="J42" s="1">
        <v>1327601</v>
      </c>
      <c r="K42" s="1">
        <v>0</v>
      </c>
      <c r="L42" s="1">
        <v>1069086</v>
      </c>
      <c r="M42" s="1">
        <v>6156148</v>
      </c>
      <c r="N42" s="1">
        <f t="shared" si="0"/>
        <v>2097913.2857142859</v>
      </c>
      <c r="O42" s="1">
        <f t="shared" si="1"/>
        <v>2097913.2857142859</v>
      </c>
      <c r="P42" s="1">
        <f t="shared" si="2"/>
        <v>2097913.2857142859</v>
      </c>
      <c r="Q42" s="1">
        <f t="shared" si="3"/>
        <v>2097913.2857142864</v>
      </c>
      <c r="R42" s="1">
        <f t="shared" si="4"/>
        <v>2097913.2857142864</v>
      </c>
    </row>
    <row r="43" spans="1:18" x14ac:dyDescent="0.3">
      <c r="A43" t="s">
        <v>18</v>
      </c>
      <c r="B43" t="s">
        <v>19</v>
      </c>
      <c r="C43" t="s">
        <v>52</v>
      </c>
      <c r="D43" t="s">
        <v>53</v>
      </c>
      <c r="E43" t="s">
        <v>46</v>
      </c>
      <c r="F43" t="s">
        <v>47</v>
      </c>
      <c r="G43" s="1">
        <v>18678340</v>
      </c>
      <c r="H43" s="1">
        <v>7768600</v>
      </c>
      <c r="I43" s="1">
        <v>35548183</v>
      </c>
      <c r="J43" s="1">
        <v>21970300</v>
      </c>
      <c r="K43" s="1">
        <v>18151228</v>
      </c>
      <c r="L43" s="1">
        <v>21372035</v>
      </c>
      <c r="M43" s="1">
        <v>11790698</v>
      </c>
      <c r="N43" s="1">
        <f t="shared" si="0"/>
        <v>19325626.285714287</v>
      </c>
      <c r="O43" s="1">
        <f t="shared" si="1"/>
        <v>19325626.285714287</v>
      </c>
      <c r="P43" s="1">
        <f t="shared" si="2"/>
        <v>19325626.285714287</v>
      </c>
      <c r="Q43" s="1">
        <f t="shared" si="3"/>
        <v>19325626.285714291</v>
      </c>
      <c r="R43" s="1">
        <f t="shared" si="4"/>
        <v>19325626.285714291</v>
      </c>
    </row>
    <row r="44" spans="1:18" x14ac:dyDescent="0.3">
      <c r="A44" t="s">
        <v>18</v>
      </c>
      <c r="B44" t="s">
        <v>19</v>
      </c>
      <c r="C44" t="s">
        <v>63</v>
      </c>
      <c r="D44" t="s">
        <v>64</v>
      </c>
      <c r="E44" t="s">
        <v>22</v>
      </c>
      <c r="F44" t="s">
        <v>23</v>
      </c>
      <c r="G44" s="1">
        <v>65193</v>
      </c>
      <c r="H44" s="1">
        <v>0</v>
      </c>
      <c r="I44" s="1">
        <v>11344081</v>
      </c>
      <c r="J44" s="1">
        <v>11125245</v>
      </c>
      <c r="K44" s="1">
        <v>2466574</v>
      </c>
      <c r="L44" s="1">
        <v>75874</v>
      </c>
      <c r="M44" s="1">
        <v>0</v>
      </c>
      <c r="N44" s="1">
        <f t="shared" si="0"/>
        <v>3582423.8571428573</v>
      </c>
      <c r="O44" s="1">
        <f t="shared" si="1"/>
        <v>3582423.8571428573</v>
      </c>
      <c r="P44" s="1">
        <f t="shared" si="2"/>
        <v>3582423.8571428573</v>
      </c>
      <c r="Q44" s="1">
        <f t="shared" si="3"/>
        <v>3582423.8571428573</v>
      </c>
      <c r="R44" s="1">
        <f t="shared" si="4"/>
        <v>3582423.8571428577</v>
      </c>
    </row>
    <row r="45" spans="1:18" x14ac:dyDescent="0.3">
      <c r="A45" t="s">
        <v>18</v>
      </c>
      <c r="B45" t="s">
        <v>19</v>
      </c>
      <c r="C45" t="s">
        <v>63</v>
      </c>
      <c r="D45" t="s">
        <v>64</v>
      </c>
      <c r="E45" t="s">
        <v>22</v>
      </c>
      <c r="F45" t="s">
        <v>24</v>
      </c>
      <c r="G45" s="1">
        <v>898260</v>
      </c>
      <c r="H45" s="1">
        <v>1168443</v>
      </c>
      <c r="I45" s="1">
        <v>1257457</v>
      </c>
      <c r="J45" s="1">
        <v>1922209</v>
      </c>
      <c r="K45" s="1">
        <v>413639</v>
      </c>
      <c r="L45" s="1">
        <v>874542</v>
      </c>
      <c r="M45" s="1">
        <v>2122460</v>
      </c>
      <c r="N45" s="1">
        <f t="shared" si="0"/>
        <v>1236715.7142857143</v>
      </c>
      <c r="O45" s="1">
        <f t="shared" si="1"/>
        <v>1236715.7142857143</v>
      </c>
      <c r="P45" s="1">
        <f t="shared" si="2"/>
        <v>1236715.7142857143</v>
      </c>
      <c r="Q45" s="1">
        <f t="shared" si="3"/>
        <v>1236715.7142857143</v>
      </c>
      <c r="R45" s="1">
        <f t="shared" si="4"/>
        <v>1236715.7142857143</v>
      </c>
    </row>
    <row r="46" spans="1:18" x14ac:dyDescent="0.3">
      <c r="A46" t="s">
        <v>18</v>
      </c>
      <c r="B46" t="s">
        <v>19</v>
      </c>
      <c r="C46" t="s">
        <v>63</v>
      </c>
      <c r="D46" t="s">
        <v>64</v>
      </c>
      <c r="E46" t="s">
        <v>22</v>
      </c>
      <c r="F46" t="s">
        <v>65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200000</v>
      </c>
      <c r="N46" s="1">
        <f t="shared" si="0"/>
        <v>28571.428571428572</v>
      </c>
      <c r="O46" s="1">
        <f t="shared" si="1"/>
        <v>28571.428571428572</v>
      </c>
      <c r="P46" s="1">
        <f t="shared" si="2"/>
        <v>28571.428571428572</v>
      </c>
      <c r="Q46" s="1">
        <f t="shared" si="3"/>
        <v>28571.428571428572</v>
      </c>
      <c r="R46" s="1">
        <f t="shared" si="4"/>
        <v>28571.428571428576</v>
      </c>
    </row>
    <row r="47" spans="1:18" x14ac:dyDescent="0.3">
      <c r="A47" t="s">
        <v>18</v>
      </c>
      <c r="B47" t="s">
        <v>19</v>
      </c>
      <c r="C47" t="s">
        <v>63</v>
      </c>
      <c r="D47" t="s">
        <v>64</v>
      </c>
      <c r="E47" t="s">
        <v>22</v>
      </c>
      <c r="F47" t="s">
        <v>66</v>
      </c>
      <c r="G47" s="1">
        <v>474819</v>
      </c>
      <c r="H47" s="1">
        <v>888364</v>
      </c>
      <c r="I47" s="1">
        <v>516910</v>
      </c>
      <c r="J47" s="1">
        <v>384328</v>
      </c>
      <c r="K47" s="1">
        <v>307000</v>
      </c>
      <c r="L47" s="1">
        <v>0</v>
      </c>
      <c r="M47" s="1">
        <v>3832500</v>
      </c>
      <c r="N47" s="1">
        <f t="shared" si="0"/>
        <v>914845.85714285716</v>
      </c>
      <c r="O47" s="1">
        <f t="shared" si="1"/>
        <v>914845.85714285716</v>
      </c>
      <c r="P47" s="1">
        <f t="shared" si="2"/>
        <v>914845.85714285716</v>
      </c>
      <c r="Q47" s="1">
        <f t="shared" si="3"/>
        <v>914845.85714285704</v>
      </c>
      <c r="R47" s="1">
        <f t="shared" si="4"/>
        <v>914845.85714285704</v>
      </c>
    </row>
    <row r="48" spans="1:18" x14ac:dyDescent="0.3">
      <c r="A48" t="s">
        <v>18</v>
      </c>
      <c r="B48" t="s">
        <v>19</v>
      </c>
      <c r="C48" t="s">
        <v>63</v>
      </c>
      <c r="D48" t="s">
        <v>64</v>
      </c>
      <c r="E48" t="s">
        <v>22</v>
      </c>
      <c r="F48" t="s">
        <v>25</v>
      </c>
      <c r="G48" s="1">
        <v>33070</v>
      </c>
      <c r="H48" s="1">
        <v>33070</v>
      </c>
      <c r="I48" s="1">
        <v>33070</v>
      </c>
      <c r="J48" s="1">
        <v>34380</v>
      </c>
      <c r="K48" s="1">
        <v>34380</v>
      </c>
      <c r="L48" s="1">
        <v>34380</v>
      </c>
      <c r="M48" s="1">
        <v>34380</v>
      </c>
      <c r="N48" s="1">
        <f t="shared" si="0"/>
        <v>33818.571428571428</v>
      </c>
      <c r="O48" s="1">
        <f t="shared" si="1"/>
        <v>33818.571428571428</v>
      </c>
      <c r="P48" s="1">
        <f t="shared" si="2"/>
        <v>33818.571428571428</v>
      </c>
      <c r="Q48" s="1">
        <f t="shared" si="3"/>
        <v>33818.571428571428</v>
      </c>
      <c r="R48" s="1">
        <f t="shared" si="4"/>
        <v>33818.571428571428</v>
      </c>
    </row>
    <row r="49" spans="1:18" x14ac:dyDescent="0.3">
      <c r="A49" t="s">
        <v>18</v>
      </c>
      <c r="B49" t="s">
        <v>19</v>
      </c>
      <c r="C49" t="s">
        <v>63</v>
      </c>
      <c r="D49" t="s">
        <v>64</v>
      </c>
      <c r="E49" t="s">
        <v>22</v>
      </c>
      <c r="F49" t="s">
        <v>26</v>
      </c>
      <c r="G49" s="1">
        <v>50000</v>
      </c>
      <c r="H49" s="1">
        <v>0</v>
      </c>
      <c r="I49" s="1">
        <v>343400</v>
      </c>
      <c r="J49" s="1">
        <v>0</v>
      </c>
      <c r="K49" s="1">
        <v>50000</v>
      </c>
      <c r="L49" s="1">
        <v>150000</v>
      </c>
      <c r="M49" s="1">
        <v>0</v>
      </c>
      <c r="N49" s="1">
        <f t="shared" si="0"/>
        <v>84771.428571428565</v>
      </c>
      <c r="O49" s="1">
        <f t="shared" si="1"/>
        <v>84771.428571428565</v>
      </c>
      <c r="P49" s="1">
        <f t="shared" si="2"/>
        <v>84771.428571428565</v>
      </c>
      <c r="Q49" s="1">
        <f t="shared" si="3"/>
        <v>84771.428571428551</v>
      </c>
      <c r="R49" s="1">
        <f t="shared" si="4"/>
        <v>84771.428571428551</v>
      </c>
    </row>
    <row r="50" spans="1:18" x14ac:dyDescent="0.3">
      <c r="A50" t="s">
        <v>18</v>
      </c>
      <c r="B50" t="s">
        <v>19</v>
      </c>
      <c r="C50" t="s">
        <v>63</v>
      </c>
      <c r="D50" t="s">
        <v>64</v>
      </c>
      <c r="E50" t="s">
        <v>22</v>
      </c>
      <c r="F50" t="s">
        <v>67</v>
      </c>
      <c r="G50" s="1">
        <v>4308885</v>
      </c>
      <c r="H50" s="1">
        <v>3413385</v>
      </c>
      <c r="I50" s="1">
        <v>4370285</v>
      </c>
      <c r="J50" s="1">
        <v>4406285</v>
      </c>
      <c r="K50" s="1">
        <v>4141148</v>
      </c>
      <c r="L50" s="1">
        <v>4047951</v>
      </c>
      <c r="M50" s="1">
        <v>4064151</v>
      </c>
      <c r="N50" s="1">
        <f t="shared" si="0"/>
        <v>4107441.4285714286</v>
      </c>
      <c r="O50" s="1">
        <f t="shared" si="1"/>
        <v>4107441.4285714286</v>
      </c>
      <c r="P50" s="1">
        <f t="shared" si="2"/>
        <v>4107441.4285714286</v>
      </c>
      <c r="Q50" s="1">
        <f t="shared" si="3"/>
        <v>4107441.4285714282</v>
      </c>
      <c r="R50" s="1">
        <f t="shared" si="4"/>
        <v>4107441.4285714282</v>
      </c>
    </row>
    <row r="51" spans="1:18" x14ac:dyDescent="0.3">
      <c r="A51" t="s">
        <v>18</v>
      </c>
      <c r="B51" t="s">
        <v>19</v>
      </c>
      <c r="C51" t="s">
        <v>63</v>
      </c>
      <c r="D51" t="s">
        <v>64</v>
      </c>
      <c r="E51" t="s">
        <v>22</v>
      </c>
      <c r="F51" t="s">
        <v>55</v>
      </c>
      <c r="G51" s="1">
        <v>6840000</v>
      </c>
      <c r="H51" s="1">
        <v>6120000</v>
      </c>
      <c r="I51" s="1">
        <v>7200000</v>
      </c>
      <c r="J51" s="1">
        <v>8020000</v>
      </c>
      <c r="K51" s="1">
        <v>5760000</v>
      </c>
      <c r="L51" s="1">
        <v>7630500</v>
      </c>
      <c r="M51" s="1">
        <v>7596100</v>
      </c>
      <c r="N51" s="1">
        <f t="shared" si="0"/>
        <v>7023800</v>
      </c>
      <c r="O51" s="1">
        <f t="shared" si="1"/>
        <v>7023800</v>
      </c>
      <c r="P51" s="1">
        <f t="shared" si="2"/>
        <v>7023800</v>
      </c>
      <c r="Q51" s="1">
        <f t="shared" si="3"/>
        <v>7023800</v>
      </c>
      <c r="R51" s="1">
        <f t="shared" si="4"/>
        <v>7023800</v>
      </c>
    </row>
    <row r="52" spans="1:18" x14ac:dyDescent="0.3">
      <c r="A52" t="s">
        <v>18</v>
      </c>
      <c r="B52" t="s">
        <v>19</v>
      </c>
      <c r="C52" t="s">
        <v>63</v>
      </c>
      <c r="D52" t="s">
        <v>64</v>
      </c>
      <c r="E52" t="s">
        <v>22</v>
      </c>
      <c r="F52" t="s">
        <v>27</v>
      </c>
      <c r="G52" s="1">
        <v>2738010</v>
      </c>
      <c r="H52" s="1">
        <v>2711990</v>
      </c>
      <c r="I52" s="1">
        <v>2711990</v>
      </c>
      <c r="J52" s="1">
        <v>3403980</v>
      </c>
      <c r="K52" s="1">
        <v>2824410</v>
      </c>
      <c r="L52" s="1">
        <v>2824410</v>
      </c>
      <c r="M52" s="1">
        <v>2865030</v>
      </c>
      <c r="N52" s="1">
        <f t="shared" si="0"/>
        <v>2868545.7142857141</v>
      </c>
      <c r="O52" s="1">
        <f t="shared" si="1"/>
        <v>2868545.7142857141</v>
      </c>
      <c r="P52" s="1">
        <f t="shared" si="2"/>
        <v>2868545.7142857141</v>
      </c>
      <c r="Q52" s="1">
        <f t="shared" si="3"/>
        <v>2868545.7142857136</v>
      </c>
      <c r="R52" s="1">
        <f t="shared" si="4"/>
        <v>2868545.7142857136</v>
      </c>
    </row>
    <row r="53" spans="1:18" x14ac:dyDescent="0.3">
      <c r="A53" t="s">
        <v>18</v>
      </c>
      <c r="B53" t="s">
        <v>19</v>
      </c>
      <c r="C53" t="s">
        <v>63</v>
      </c>
      <c r="D53" t="s">
        <v>64</v>
      </c>
      <c r="E53" t="s">
        <v>28</v>
      </c>
      <c r="F53" t="s">
        <v>29</v>
      </c>
      <c r="G53" s="1">
        <v>62650</v>
      </c>
      <c r="H53" s="1">
        <v>54546</v>
      </c>
      <c r="I53" s="1">
        <v>55276</v>
      </c>
      <c r="J53" s="1">
        <v>34136</v>
      </c>
      <c r="K53" s="1">
        <v>79620</v>
      </c>
      <c r="L53" s="1">
        <v>0</v>
      </c>
      <c r="M53" s="1">
        <v>144197</v>
      </c>
      <c r="N53" s="1">
        <f t="shared" si="0"/>
        <v>61489.285714285717</v>
      </c>
      <c r="O53" s="1">
        <f t="shared" si="1"/>
        <v>61489.285714285717</v>
      </c>
      <c r="P53" s="1">
        <f t="shared" si="2"/>
        <v>61489.285714285717</v>
      </c>
      <c r="Q53" s="1">
        <f t="shared" si="3"/>
        <v>61489.285714285717</v>
      </c>
      <c r="R53" s="1">
        <f t="shared" si="4"/>
        <v>61489.28571428571</v>
      </c>
    </row>
    <row r="54" spans="1:18" x14ac:dyDescent="0.3">
      <c r="A54" t="s">
        <v>18</v>
      </c>
      <c r="B54" t="s">
        <v>19</v>
      </c>
      <c r="C54" t="s">
        <v>63</v>
      </c>
      <c r="D54" t="s">
        <v>64</v>
      </c>
      <c r="E54" t="s">
        <v>28</v>
      </c>
      <c r="F54" t="s">
        <v>30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f t="shared" si="0"/>
        <v>0</v>
      </c>
      <c r="O54" s="1">
        <f t="shared" si="1"/>
        <v>0</v>
      </c>
      <c r="P54" s="1">
        <f t="shared" si="2"/>
        <v>0</v>
      </c>
      <c r="Q54" s="1">
        <f t="shared" si="3"/>
        <v>0</v>
      </c>
      <c r="R54" s="1">
        <f t="shared" si="4"/>
        <v>0</v>
      </c>
    </row>
    <row r="55" spans="1:18" x14ac:dyDescent="0.3">
      <c r="A55" t="s">
        <v>18</v>
      </c>
      <c r="B55" t="s">
        <v>19</v>
      </c>
      <c r="C55" t="s">
        <v>63</v>
      </c>
      <c r="D55" t="s">
        <v>64</v>
      </c>
      <c r="E55" t="s">
        <v>68</v>
      </c>
      <c r="F55" t="s">
        <v>69</v>
      </c>
      <c r="G55" s="1">
        <v>114855</v>
      </c>
      <c r="H55" s="1">
        <v>125679</v>
      </c>
      <c r="I55" s="1">
        <v>127835</v>
      </c>
      <c r="J55" s="1">
        <v>125878</v>
      </c>
      <c r="K55" s="1">
        <v>132014</v>
      </c>
      <c r="L55" s="1">
        <v>115837</v>
      </c>
      <c r="M55" s="1">
        <v>144236</v>
      </c>
      <c r="N55" s="1">
        <f t="shared" si="0"/>
        <v>126619.14285714286</v>
      </c>
      <c r="O55" s="1">
        <f t="shared" si="1"/>
        <v>126619.14285714286</v>
      </c>
      <c r="P55" s="1">
        <f t="shared" si="2"/>
        <v>126619.14285714286</v>
      </c>
      <c r="Q55" s="1">
        <f t="shared" si="3"/>
        <v>126619.14285714287</v>
      </c>
      <c r="R55" s="1">
        <f t="shared" si="4"/>
        <v>126619.14285714287</v>
      </c>
    </row>
    <row r="56" spans="1:18" x14ac:dyDescent="0.3">
      <c r="A56" t="s">
        <v>18</v>
      </c>
      <c r="B56" t="s">
        <v>19</v>
      </c>
      <c r="C56" t="s">
        <v>63</v>
      </c>
      <c r="D56" t="s">
        <v>64</v>
      </c>
      <c r="E56" t="s">
        <v>68</v>
      </c>
      <c r="F56" t="s">
        <v>70</v>
      </c>
      <c r="G56" s="1">
        <v>11760</v>
      </c>
      <c r="H56" s="1">
        <v>17540</v>
      </c>
      <c r="I56" s="1">
        <v>12500</v>
      </c>
      <c r="J56" s="1">
        <v>30940</v>
      </c>
      <c r="K56" s="1">
        <v>0</v>
      </c>
      <c r="L56" s="1">
        <v>23940</v>
      </c>
      <c r="M56" s="1">
        <v>8110</v>
      </c>
      <c r="N56" s="1">
        <f t="shared" si="0"/>
        <v>14970</v>
      </c>
      <c r="O56" s="1">
        <f t="shared" si="1"/>
        <v>14970</v>
      </c>
      <c r="P56" s="1">
        <f t="shared" si="2"/>
        <v>14970</v>
      </c>
      <c r="Q56" s="1">
        <f t="shared" si="3"/>
        <v>14970</v>
      </c>
      <c r="R56" s="1">
        <f t="shared" si="4"/>
        <v>14970</v>
      </c>
    </row>
    <row r="57" spans="1:18" x14ac:dyDescent="0.3">
      <c r="A57" t="s">
        <v>18</v>
      </c>
      <c r="B57" t="s">
        <v>19</v>
      </c>
      <c r="C57" t="s">
        <v>63</v>
      </c>
      <c r="D57" t="s">
        <v>64</v>
      </c>
      <c r="E57" t="s">
        <v>68</v>
      </c>
      <c r="F57" t="s">
        <v>71</v>
      </c>
      <c r="G57" s="1">
        <v>238482</v>
      </c>
      <c r="H57" s="1">
        <v>244160</v>
      </c>
      <c r="I57" s="1">
        <v>200580</v>
      </c>
      <c r="J57" s="1">
        <v>224320</v>
      </c>
      <c r="K57" s="1">
        <v>227720</v>
      </c>
      <c r="L57" s="1">
        <v>246830</v>
      </c>
      <c r="M57" s="1">
        <v>296920</v>
      </c>
      <c r="N57" s="1">
        <f t="shared" si="0"/>
        <v>239858.85714285713</v>
      </c>
      <c r="O57" s="1">
        <f t="shared" si="1"/>
        <v>239858.85714285713</v>
      </c>
      <c r="P57" s="1">
        <f t="shared" si="2"/>
        <v>239858.85714285713</v>
      </c>
      <c r="Q57" s="1">
        <f t="shared" si="3"/>
        <v>239858.85714285713</v>
      </c>
      <c r="R57" s="1">
        <f t="shared" si="4"/>
        <v>239858.85714285716</v>
      </c>
    </row>
    <row r="58" spans="1:18" x14ac:dyDescent="0.3">
      <c r="A58" t="s">
        <v>18</v>
      </c>
      <c r="B58" t="s">
        <v>19</v>
      </c>
      <c r="C58" t="s">
        <v>63</v>
      </c>
      <c r="D58" t="s">
        <v>64</v>
      </c>
      <c r="E58" t="s">
        <v>72</v>
      </c>
      <c r="F58" t="s">
        <v>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f t="shared" si="0"/>
        <v>0</v>
      </c>
      <c r="O58" s="1">
        <f t="shared" si="1"/>
        <v>0</v>
      </c>
      <c r="P58" s="1">
        <f t="shared" si="2"/>
        <v>0</v>
      </c>
      <c r="Q58" s="1">
        <f t="shared" si="3"/>
        <v>0</v>
      </c>
      <c r="R58" s="1">
        <f t="shared" si="4"/>
        <v>0</v>
      </c>
    </row>
    <row r="59" spans="1:18" x14ac:dyDescent="0.3">
      <c r="A59" t="s">
        <v>18</v>
      </c>
      <c r="B59" t="s">
        <v>19</v>
      </c>
      <c r="C59" t="s">
        <v>63</v>
      </c>
      <c r="D59" t="s">
        <v>64</v>
      </c>
      <c r="E59" t="s">
        <v>72</v>
      </c>
      <c r="F59" t="s">
        <v>74</v>
      </c>
      <c r="G59" s="1">
        <v>2158750</v>
      </c>
      <c r="H59" s="1">
        <v>2513840</v>
      </c>
      <c r="I59" s="1">
        <v>3854180</v>
      </c>
      <c r="J59" s="1">
        <v>2116180</v>
      </c>
      <c r="K59" s="1">
        <v>2127080</v>
      </c>
      <c r="L59" s="1">
        <v>2203600</v>
      </c>
      <c r="M59" s="1">
        <v>2080480</v>
      </c>
      <c r="N59" s="1">
        <f t="shared" si="0"/>
        <v>2436301.4285714286</v>
      </c>
      <c r="O59" s="1">
        <f t="shared" si="1"/>
        <v>2436301.4285714286</v>
      </c>
      <c r="P59" s="1">
        <f t="shared" si="2"/>
        <v>2436301.4285714286</v>
      </c>
      <c r="Q59" s="1">
        <f t="shared" si="3"/>
        <v>2436301.4285714286</v>
      </c>
      <c r="R59" s="1">
        <f t="shared" si="4"/>
        <v>2436301.4285714286</v>
      </c>
    </row>
    <row r="60" spans="1:18" x14ac:dyDescent="0.3">
      <c r="A60" t="s">
        <v>18</v>
      </c>
      <c r="B60" t="s">
        <v>19</v>
      </c>
      <c r="C60" t="s">
        <v>63</v>
      </c>
      <c r="D60" t="s">
        <v>64</v>
      </c>
      <c r="E60" t="s">
        <v>72</v>
      </c>
      <c r="F60" t="s">
        <v>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57050600</v>
      </c>
      <c r="N60" s="1">
        <f t="shared" si="0"/>
        <v>8150085.7142857146</v>
      </c>
      <c r="O60" s="1">
        <f t="shared" si="1"/>
        <v>8150085.7142857146</v>
      </c>
      <c r="P60" s="1">
        <f t="shared" si="2"/>
        <v>8150085.7142857146</v>
      </c>
      <c r="Q60" s="1">
        <f t="shared" si="3"/>
        <v>8150085.7142857146</v>
      </c>
      <c r="R60" s="1">
        <f t="shared" si="4"/>
        <v>8150085.7142857155</v>
      </c>
    </row>
    <row r="61" spans="1:18" x14ac:dyDescent="0.3">
      <c r="A61" t="s">
        <v>18</v>
      </c>
      <c r="B61" t="s">
        <v>19</v>
      </c>
      <c r="C61" t="s">
        <v>63</v>
      </c>
      <c r="D61" t="s">
        <v>64</v>
      </c>
      <c r="E61" t="s">
        <v>72</v>
      </c>
      <c r="F61" t="s">
        <v>76</v>
      </c>
      <c r="G61" s="1">
        <v>373500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f t="shared" si="0"/>
        <v>53357.142857142855</v>
      </c>
      <c r="O61" s="1">
        <f t="shared" si="1"/>
        <v>53357.142857142855</v>
      </c>
      <c r="P61" s="1">
        <f t="shared" si="2"/>
        <v>53357.142857142855</v>
      </c>
      <c r="Q61" s="1">
        <f t="shared" si="3"/>
        <v>53357.142857142855</v>
      </c>
      <c r="R61" s="1">
        <f t="shared" si="4"/>
        <v>53357.142857142848</v>
      </c>
    </row>
    <row r="62" spans="1:18" x14ac:dyDescent="0.3">
      <c r="A62" t="s">
        <v>18</v>
      </c>
      <c r="B62" t="s">
        <v>19</v>
      </c>
      <c r="C62" t="s">
        <v>63</v>
      </c>
      <c r="D62" t="s">
        <v>64</v>
      </c>
      <c r="E62" t="s">
        <v>72</v>
      </c>
      <c r="F62" t="s">
        <v>77</v>
      </c>
      <c r="G62" s="1">
        <v>523600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f t="shared" si="0"/>
        <v>74800</v>
      </c>
      <c r="O62" s="1">
        <f t="shared" si="1"/>
        <v>74800</v>
      </c>
      <c r="P62" s="1">
        <f t="shared" si="2"/>
        <v>74800</v>
      </c>
      <c r="Q62" s="1">
        <f t="shared" si="3"/>
        <v>74800</v>
      </c>
      <c r="R62" s="1">
        <f t="shared" si="4"/>
        <v>74800</v>
      </c>
    </row>
    <row r="63" spans="1:18" x14ac:dyDescent="0.3">
      <c r="A63" t="s">
        <v>18</v>
      </c>
      <c r="B63" t="s">
        <v>19</v>
      </c>
      <c r="C63" t="s">
        <v>63</v>
      </c>
      <c r="D63" t="s">
        <v>64</v>
      </c>
      <c r="E63" t="s">
        <v>72</v>
      </c>
      <c r="F63" t="s">
        <v>78</v>
      </c>
      <c r="G63" s="1">
        <v>0</v>
      </c>
      <c r="H63" s="1">
        <v>0</v>
      </c>
      <c r="I63" s="1">
        <v>0</v>
      </c>
      <c r="J63" s="1">
        <v>300000</v>
      </c>
      <c r="K63" s="1">
        <v>0</v>
      </c>
      <c r="L63" s="1">
        <v>0</v>
      </c>
      <c r="M63" s="1">
        <v>0</v>
      </c>
      <c r="N63" s="1">
        <f t="shared" si="0"/>
        <v>42857.142857142855</v>
      </c>
      <c r="O63" s="1">
        <f t="shared" si="1"/>
        <v>42857.142857142855</v>
      </c>
      <c r="P63" s="1">
        <f t="shared" si="2"/>
        <v>42857.142857142855</v>
      </c>
      <c r="Q63" s="1">
        <f t="shared" si="3"/>
        <v>42857.142857142855</v>
      </c>
      <c r="R63" s="1">
        <f t="shared" si="4"/>
        <v>42857.142857142848</v>
      </c>
    </row>
    <row r="64" spans="1:18" x14ac:dyDescent="0.3">
      <c r="A64" t="s">
        <v>18</v>
      </c>
      <c r="B64" t="s">
        <v>19</v>
      </c>
      <c r="C64" t="s">
        <v>63</v>
      </c>
      <c r="D64" t="s">
        <v>64</v>
      </c>
      <c r="E64" t="s">
        <v>79</v>
      </c>
      <c r="F64" t="s">
        <v>80</v>
      </c>
      <c r="G64" s="1">
        <v>4690000</v>
      </c>
      <c r="H64" s="1">
        <v>4740000</v>
      </c>
      <c r="I64" s="1">
        <v>4740000</v>
      </c>
      <c r="J64" s="1">
        <v>5520000</v>
      </c>
      <c r="K64" s="1">
        <v>4640000</v>
      </c>
      <c r="L64" s="1">
        <v>4640000</v>
      </c>
      <c r="M64" s="1">
        <v>4640000</v>
      </c>
      <c r="N64" s="1">
        <f t="shared" si="0"/>
        <v>4801428.5714285718</v>
      </c>
      <c r="O64" s="1">
        <f t="shared" si="1"/>
        <v>4801428.5714285718</v>
      </c>
      <c r="P64" s="1">
        <f t="shared" si="2"/>
        <v>4801428.5714285718</v>
      </c>
      <c r="Q64" s="1">
        <f t="shared" si="3"/>
        <v>4801428.5714285728</v>
      </c>
      <c r="R64" s="1">
        <f t="shared" si="4"/>
        <v>4801428.5714285728</v>
      </c>
    </row>
    <row r="65" spans="1:18" x14ac:dyDescent="0.3">
      <c r="A65" t="s">
        <v>18</v>
      </c>
      <c r="B65" t="s">
        <v>19</v>
      </c>
      <c r="C65" t="s">
        <v>63</v>
      </c>
      <c r="D65" t="s">
        <v>64</v>
      </c>
      <c r="E65" t="s">
        <v>79</v>
      </c>
      <c r="F65" t="s">
        <v>81</v>
      </c>
      <c r="G65" s="1">
        <v>1516000</v>
      </c>
      <c r="H65" s="1">
        <v>1516000</v>
      </c>
      <c r="I65" s="1">
        <v>1516000</v>
      </c>
      <c r="J65" s="1">
        <v>1516000</v>
      </c>
      <c r="K65" s="1">
        <v>1516000</v>
      </c>
      <c r="L65" s="1">
        <v>1760000</v>
      </c>
      <c r="M65" s="1">
        <v>1577000</v>
      </c>
      <c r="N65" s="1">
        <f t="shared" si="0"/>
        <v>1559571.4285714286</v>
      </c>
      <c r="O65" s="1">
        <f t="shared" si="1"/>
        <v>1559571.4285714286</v>
      </c>
      <c r="P65" s="1">
        <f t="shared" si="2"/>
        <v>1559571.4285714286</v>
      </c>
      <c r="Q65" s="1">
        <f t="shared" si="3"/>
        <v>1559571.4285714286</v>
      </c>
      <c r="R65" s="1">
        <f t="shared" si="4"/>
        <v>1559571.4285714289</v>
      </c>
    </row>
    <row r="66" spans="1:18" x14ac:dyDescent="0.3">
      <c r="A66" t="s">
        <v>18</v>
      </c>
      <c r="B66" t="s">
        <v>19</v>
      </c>
      <c r="C66" t="s">
        <v>63</v>
      </c>
      <c r="D66" t="s">
        <v>64</v>
      </c>
      <c r="E66" t="s">
        <v>79</v>
      </c>
      <c r="F66" t="s">
        <v>82</v>
      </c>
      <c r="G66" s="1">
        <v>686364</v>
      </c>
      <c r="H66" s="1">
        <v>686364</v>
      </c>
      <c r="I66" s="1">
        <v>686364</v>
      </c>
      <c r="J66" s="1">
        <v>686364</v>
      </c>
      <c r="K66" s="1">
        <v>686364</v>
      </c>
      <c r="L66" s="1">
        <v>686364</v>
      </c>
      <c r="M66" s="1">
        <v>686364</v>
      </c>
      <c r="N66" s="1">
        <f t="shared" si="0"/>
        <v>686364</v>
      </c>
      <c r="O66" s="1">
        <f t="shared" si="1"/>
        <v>686364</v>
      </c>
      <c r="P66" s="1">
        <f t="shared" si="2"/>
        <v>686364</v>
      </c>
      <c r="Q66" s="1">
        <f t="shared" si="3"/>
        <v>686364</v>
      </c>
      <c r="R66" s="1">
        <f t="shared" si="4"/>
        <v>686364</v>
      </c>
    </row>
    <row r="67" spans="1:18" x14ac:dyDescent="0.3">
      <c r="A67" t="s">
        <v>18</v>
      </c>
      <c r="B67" t="s">
        <v>19</v>
      </c>
      <c r="C67" t="s">
        <v>63</v>
      </c>
      <c r="D67" t="s">
        <v>64</v>
      </c>
      <c r="E67" t="s">
        <v>31</v>
      </c>
      <c r="F67" t="s">
        <v>83</v>
      </c>
      <c r="G67" s="1">
        <v>127188963</v>
      </c>
      <c r="H67" s="1">
        <v>127188963</v>
      </c>
      <c r="I67" s="1">
        <v>127188963</v>
      </c>
      <c r="J67" s="1">
        <v>127188963</v>
      </c>
      <c r="K67" s="1">
        <v>127188963</v>
      </c>
      <c r="L67" s="1">
        <v>127188963</v>
      </c>
      <c r="M67" s="1">
        <v>127188963</v>
      </c>
      <c r="N67" s="1">
        <f t="shared" si="0"/>
        <v>127188963</v>
      </c>
      <c r="O67" s="1">
        <f t="shared" si="1"/>
        <v>127188963</v>
      </c>
      <c r="P67" s="1">
        <f t="shared" si="2"/>
        <v>127188963</v>
      </c>
      <c r="Q67" s="1">
        <f t="shared" si="3"/>
        <v>127188963</v>
      </c>
      <c r="R67" s="1">
        <f t="shared" si="4"/>
        <v>127188963</v>
      </c>
    </row>
    <row r="68" spans="1:18" x14ac:dyDescent="0.3">
      <c r="A68" t="s">
        <v>18</v>
      </c>
      <c r="B68" t="s">
        <v>19</v>
      </c>
      <c r="C68" t="s">
        <v>63</v>
      </c>
      <c r="D68" t="s">
        <v>64</v>
      </c>
      <c r="E68" t="s">
        <v>31</v>
      </c>
      <c r="F68" t="s">
        <v>32</v>
      </c>
      <c r="G68" s="1">
        <v>2091842</v>
      </c>
      <c r="H68" s="1">
        <v>2091842</v>
      </c>
      <c r="I68" s="1">
        <v>2091842</v>
      </c>
      <c r="J68" s="1">
        <v>2091842</v>
      </c>
      <c r="K68" s="1">
        <v>2091842</v>
      </c>
      <c r="L68" s="1">
        <v>2091842</v>
      </c>
      <c r="M68" s="1">
        <v>2091842</v>
      </c>
      <c r="N68" s="1">
        <f t="shared" ref="N68:N131" si="5">SUM(G68:M68)/7</f>
        <v>2091842</v>
      </c>
      <c r="O68" s="1">
        <f t="shared" ref="O68:O131" si="6">SUM(G68:N68)/8</f>
        <v>2091842</v>
      </c>
      <c r="P68" s="1">
        <f t="shared" ref="P68:P131" si="7">SUM(G68:O68)/9</f>
        <v>2091842</v>
      </c>
      <c r="Q68" s="1">
        <f t="shared" ref="Q68:Q131" si="8">SUM(G68:P68)/10</f>
        <v>2091842</v>
      </c>
      <c r="R68" s="1">
        <f t="shared" ref="R68:R131" si="9">SUM(G68:Q68)/11</f>
        <v>2091842</v>
      </c>
    </row>
    <row r="69" spans="1:18" x14ac:dyDescent="0.3">
      <c r="A69" t="s">
        <v>18</v>
      </c>
      <c r="B69" t="s">
        <v>19</v>
      </c>
      <c r="C69" t="s">
        <v>63</v>
      </c>
      <c r="D69" t="s">
        <v>64</v>
      </c>
      <c r="E69" t="s">
        <v>31</v>
      </c>
      <c r="F69" t="s">
        <v>84</v>
      </c>
      <c r="G69" s="1">
        <v>1134917</v>
      </c>
      <c r="H69" s="1">
        <v>1134917</v>
      </c>
      <c r="I69" s="1">
        <v>1134917</v>
      </c>
      <c r="J69" s="1">
        <v>1134917</v>
      </c>
      <c r="K69" s="1">
        <v>1134917</v>
      </c>
      <c r="L69" s="1">
        <v>1134917</v>
      </c>
      <c r="M69" s="1">
        <v>1134917</v>
      </c>
      <c r="N69" s="1">
        <f t="shared" si="5"/>
        <v>1134917</v>
      </c>
      <c r="O69" s="1">
        <f t="shared" si="6"/>
        <v>1134917</v>
      </c>
      <c r="P69" s="1">
        <f t="shared" si="7"/>
        <v>1134917</v>
      </c>
      <c r="Q69" s="1">
        <f t="shared" si="8"/>
        <v>1134917</v>
      </c>
      <c r="R69" s="1">
        <f t="shared" si="9"/>
        <v>1134917</v>
      </c>
    </row>
    <row r="70" spans="1:18" x14ac:dyDescent="0.3">
      <c r="A70" t="s">
        <v>18</v>
      </c>
      <c r="B70" t="s">
        <v>19</v>
      </c>
      <c r="C70" t="s">
        <v>63</v>
      </c>
      <c r="D70" t="s">
        <v>64</v>
      </c>
      <c r="E70" t="s">
        <v>31</v>
      </c>
      <c r="F70" t="s">
        <v>56</v>
      </c>
      <c r="G70" s="1">
        <v>37259960</v>
      </c>
      <c r="H70" s="1">
        <v>37259960</v>
      </c>
      <c r="I70" s="1">
        <v>37259960</v>
      </c>
      <c r="J70" s="1">
        <v>37259960</v>
      </c>
      <c r="K70" s="1">
        <v>37259960</v>
      </c>
      <c r="L70" s="1">
        <v>37259960</v>
      </c>
      <c r="M70" s="1">
        <v>37259960</v>
      </c>
      <c r="N70" s="1">
        <f t="shared" si="5"/>
        <v>37259960</v>
      </c>
      <c r="O70" s="1">
        <f t="shared" si="6"/>
        <v>37259960</v>
      </c>
      <c r="P70" s="1">
        <f t="shared" si="7"/>
        <v>37259960</v>
      </c>
      <c r="Q70" s="1">
        <f t="shared" si="8"/>
        <v>37259960</v>
      </c>
      <c r="R70" s="1">
        <f t="shared" si="9"/>
        <v>37259960</v>
      </c>
    </row>
    <row r="71" spans="1:18" x14ac:dyDescent="0.3">
      <c r="A71" t="s">
        <v>18</v>
      </c>
      <c r="B71" t="s">
        <v>19</v>
      </c>
      <c r="C71" t="s">
        <v>63</v>
      </c>
      <c r="D71" t="s">
        <v>64</v>
      </c>
      <c r="E71" t="s">
        <v>34</v>
      </c>
      <c r="F71" t="s">
        <v>58</v>
      </c>
      <c r="G71" s="1">
        <v>0</v>
      </c>
      <c r="H71" s="1">
        <v>0</v>
      </c>
      <c r="I71" s="1">
        <v>261000000</v>
      </c>
      <c r="J71" s="1">
        <v>377100000</v>
      </c>
      <c r="K71" s="1">
        <v>263700000</v>
      </c>
      <c r="L71" s="1">
        <v>10328000</v>
      </c>
      <c r="M71" s="1">
        <v>26910</v>
      </c>
      <c r="N71" s="1">
        <v>0</v>
      </c>
      <c r="O71" s="1">
        <v>0</v>
      </c>
      <c r="P71" s="1">
        <v>0</v>
      </c>
      <c r="Q71" s="1">
        <v>0</v>
      </c>
      <c r="R71" s="1">
        <v>20000000</v>
      </c>
    </row>
    <row r="72" spans="1:18" x14ac:dyDescent="0.3">
      <c r="A72" t="s">
        <v>18</v>
      </c>
      <c r="B72" t="s">
        <v>19</v>
      </c>
      <c r="C72" t="s">
        <v>63</v>
      </c>
      <c r="D72" t="s">
        <v>64</v>
      </c>
      <c r="E72" t="s">
        <v>34</v>
      </c>
      <c r="F72" t="s">
        <v>59</v>
      </c>
      <c r="G72" s="1">
        <v>0</v>
      </c>
      <c r="H72" s="1">
        <v>43182</v>
      </c>
      <c r="I72" s="1">
        <v>0</v>
      </c>
      <c r="J72" s="1">
        <v>0</v>
      </c>
      <c r="K72" s="1">
        <v>0</v>
      </c>
      <c r="L72" s="1">
        <v>590000</v>
      </c>
      <c r="M72" s="1">
        <v>210000</v>
      </c>
      <c r="N72" s="1">
        <f t="shared" si="5"/>
        <v>120454.57142857143</v>
      </c>
      <c r="O72" s="1">
        <f t="shared" si="6"/>
        <v>120454.57142857143</v>
      </c>
      <c r="P72" s="1">
        <f t="shared" si="7"/>
        <v>120454.57142857143</v>
      </c>
      <c r="Q72" s="1">
        <f t="shared" si="8"/>
        <v>120454.57142857143</v>
      </c>
      <c r="R72" s="1">
        <f t="shared" si="9"/>
        <v>120454.57142857142</v>
      </c>
    </row>
    <row r="73" spans="1:18" x14ac:dyDescent="0.3">
      <c r="A73" t="s">
        <v>18</v>
      </c>
      <c r="B73" t="s">
        <v>19</v>
      </c>
      <c r="C73" t="s">
        <v>63</v>
      </c>
      <c r="D73" t="s">
        <v>64</v>
      </c>
      <c r="E73" t="s">
        <v>34</v>
      </c>
      <c r="F73" t="s">
        <v>35</v>
      </c>
      <c r="G73" s="1">
        <v>0</v>
      </c>
      <c r="H73" s="1">
        <v>0</v>
      </c>
      <c r="I73" s="1">
        <v>0</v>
      </c>
      <c r="J73" s="1">
        <v>3300000</v>
      </c>
      <c r="K73" s="1">
        <v>1162728</v>
      </c>
      <c r="L73" s="1">
        <v>350000</v>
      </c>
      <c r="M73" s="1">
        <v>0</v>
      </c>
      <c r="N73" s="1">
        <f t="shared" si="5"/>
        <v>687532.57142857148</v>
      </c>
      <c r="O73" s="1">
        <f t="shared" si="6"/>
        <v>687532.57142857148</v>
      </c>
      <c r="P73" s="1">
        <f t="shared" si="7"/>
        <v>687532.57142857148</v>
      </c>
      <c r="Q73" s="1">
        <f t="shared" si="8"/>
        <v>687532.57142857159</v>
      </c>
      <c r="R73" s="1">
        <f t="shared" si="9"/>
        <v>687532.57142857159</v>
      </c>
    </row>
    <row r="74" spans="1:18" x14ac:dyDescent="0.3">
      <c r="A74" t="s">
        <v>18</v>
      </c>
      <c r="B74" t="s">
        <v>19</v>
      </c>
      <c r="C74" t="s">
        <v>63</v>
      </c>
      <c r="D74" t="s">
        <v>64</v>
      </c>
      <c r="E74" t="s">
        <v>34</v>
      </c>
      <c r="F74" t="s">
        <v>36</v>
      </c>
      <c r="G74" s="1">
        <v>6872040</v>
      </c>
      <c r="H74" s="1">
        <v>1269500</v>
      </c>
      <c r="I74" s="1">
        <v>382500</v>
      </c>
      <c r="J74" s="1">
        <v>382500</v>
      </c>
      <c r="K74" s="1">
        <v>382500</v>
      </c>
      <c r="L74" s="1">
        <v>432500</v>
      </c>
      <c r="M74" s="1">
        <v>13735410</v>
      </c>
      <c r="N74" s="1">
        <f t="shared" si="5"/>
        <v>3350992.8571428573</v>
      </c>
      <c r="O74" s="1">
        <f t="shared" si="6"/>
        <v>3350992.8571428573</v>
      </c>
      <c r="P74" s="1">
        <f t="shared" si="7"/>
        <v>3350992.8571428573</v>
      </c>
      <c r="Q74" s="1">
        <f t="shared" si="8"/>
        <v>3350992.8571428573</v>
      </c>
      <c r="R74" s="1">
        <f t="shared" si="9"/>
        <v>3350992.8571428577</v>
      </c>
    </row>
    <row r="75" spans="1:18" x14ac:dyDescent="0.3">
      <c r="A75" t="s">
        <v>18</v>
      </c>
      <c r="B75" t="s">
        <v>19</v>
      </c>
      <c r="C75" t="s">
        <v>63</v>
      </c>
      <c r="D75" t="s">
        <v>64</v>
      </c>
      <c r="E75" t="s">
        <v>85</v>
      </c>
      <c r="F75" t="s">
        <v>86</v>
      </c>
      <c r="G75" s="1">
        <v>725898</v>
      </c>
      <c r="H75" s="1">
        <v>655650</v>
      </c>
      <c r="I75" s="1">
        <v>725898</v>
      </c>
      <c r="J75" s="1">
        <v>702482</v>
      </c>
      <c r="K75" s="1">
        <v>725898</v>
      </c>
      <c r="L75" s="1">
        <v>702482</v>
      </c>
      <c r="M75" s="1">
        <v>725898</v>
      </c>
      <c r="N75" s="1">
        <f t="shared" si="5"/>
        <v>709172.28571428568</v>
      </c>
      <c r="O75" s="1">
        <f t="shared" si="6"/>
        <v>709172.28571428568</v>
      </c>
      <c r="P75" s="1">
        <f t="shared" si="7"/>
        <v>709172.28571428568</v>
      </c>
      <c r="Q75" s="1">
        <f t="shared" si="8"/>
        <v>709172.28571428568</v>
      </c>
      <c r="R75" s="1">
        <f t="shared" si="9"/>
        <v>709172.28571428556</v>
      </c>
    </row>
    <row r="76" spans="1:18" x14ac:dyDescent="0.3">
      <c r="A76" t="s">
        <v>18</v>
      </c>
      <c r="B76" t="s">
        <v>19</v>
      </c>
      <c r="C76" t="s">
        <v>63</v>
      </c>
      <c r="D76" t="s">
        <v>64</v>
      </c>
      <c r="E76" t="s">
        <v>85</v>
      </c>
      <c r="F76" t="s">
        <v>87</v>
      </c>
      <c r="G76" s="1">
        <v>414272</v>
      </c>
      <c r="H76" s="1">
        <v>374181</v>
      </c>
      <c r="I76" s="1">
        <v>414272</v>
      </c>
      <c r="J76" s="1">
        <v>400908</v>
      </c>
      <c r="K76" s="1">
        <v>414272</v>
      </c>
      <c r="L76" s="1">
        <v>400908</v>
      </c>
      <c r="M76" s="1">
        <v>414272</v>
      </c>
      <c r="N76" s="1">
        <f t="shared" si="5"/>
        <v>404726.42857142858</v>
      </c>
      <c r="O76" s="1">
        <f t="shared" si="6"/>
        <v>404726.42857142858</v>
      </c>
      <c r="P76" s="1">
        <f t="shared" si="7"/>
        <v>404726.42857142858</v>
      </c>
      <c r="Q76" s="1">
        <f t="shared" si="8"/>
        <v>404726.42857142858</v>
      </c>
      <c r="R76" s="1">
        <f t="shared" si="9"/>
        <v>404726.42857142858</v>
      </c>
    </row>
    <row r="77" spans="1:18" x14ac:dyDescent="0.3">
      <c r="A77" t="s">
        <v>18</v>
      </c>
      <c r="B77" t="s">
        <v>19</v>
      </c>
      <c r="C77" t="s">
        <v>63</v>
      </c>
      <c r="D77" t="s">
        <v>64</v>
      </c>
      <c r="E77" t="s">
        <v>85</v>
      </c>
      <c r="F77" t="s">
        <v>88</v>
      </c>
      <c r="G77" s="1">
        <v>90115</v>
      </c>
      <c r="H77" s="1">
        <v>81394</v>
      </c>
      <c r="I77" s="1">
        <v>90115</v>
      </c>
      <c r="J77" s="1">
        <v>87208</v>
      </c>
      <c r="K77" s="1">
        <v>90115</v>
      </c>
      <c r="L77" s="1">
        <v>87208</v>
      </c>
      <c r="M77" s="1">
        <v>90115</v>
      </c>
      <c r="N77" s="1">
        <f t="shared" si="5"/>
        <v>88038.571428571435</v>
      </c>
      <c r="O77" s="1">
        <f t="shared" si="6"/>
        <v>88038.571428571435</v>
      </c>
      <c r="P77" s="1">
        <f t="shared" si="7"/>
        <v>88038.571428571435</v>
      </c>
      <c r="Q77" s="1">
        <f t="shared" si="8"/>
        <v>88038.571428571449</v>
      </c>
      <c r="R77" s="1">
        <f t="shared" si="9"/>
        <v>88038.571428571449</v>
      </c>
    </row>
    <row r="78" spans="1:18" x14ac:dyDescent="0.3">
      <c r="A78" t="s">
        <v>18</v>
      </c>
      <c r="B78" t="s">
        <v>19</v>
      </c>
      <c r="C78" t="s">
        <v>63</v>
      </c>
      <c r="D78" t="s">
        <v>64</v>
      </c>
      <c r="E78" t="s">
        <v>85</v>
      </c>
      <c r="F78" t="s">
        <v>89</v>
      </c>
      <c r="G78" s="1">
        <v>6514</v>
      </c>
      <c r="H78" s="1">
        <v>5884</v>
      </c>
      <c r="I78" s="1">
        <v>6514</v>
      </c>
      <c r="J78" s="1">
        <v>6304</v>
      </c>
      <c r="K78" s="1">
        <v>6514</v>
      </c>
      <c r="L78" s="1">
        <v>6304</v>
      </c>
      <c r="M78" s="1">
        <v>6514</v>
      </c>
      <c r="N78" s="1">
        <f t="shared" si="5"/>
        <v>6364</v>
      </c>
      <c r="O78" s="1">
        <f t="shared" si="6"/>
        <v>6364</v>
      </c>
      <c r="P78" s="1">
        <f t="shared" si="7"/>
        <v>6364</v>
      </c>
      <c r="Q78" s="1">
        <f t="shared" si="8"/>
        <v>6364</v>
      </c>
      <c r="R78" s="1">
        <f t="shared" si="9"/>
        <v>6364</v>
      </c>
    </row>
    <row r="79" spans="1:18" x14ac:dyDescent="0.3">
      <c r="A79" t="s">
        <v>18</v>
      </c>
      <c r="B79" t="s">
        <v>19</v>
      </c>
      <c r="C79" t="s">
        <v>63</v>
      </c>
      <c r="D79" t="s">
        <v>64</v>
      </c>
      <c r="E79" t="s">
        <v>90</v>
      </c>
      <c r="F79" t="s">
        <v>91</v>
      </c>
      <c r="G79" s="1">
        <v>0</v>
      </c>
      <c r="H79" s="1">
        <v>9000</v>
      </c>
      <c r="I79" s="1">
        <v>0</v>
      </c>
      <c r="J79" s="1">
        <v>0</v>
      </c>
      <c r="K79" s="1">
        <v>0</v>
      </c>
      <c r="L79" s="1">
        <v>0</v>
      </c>
      <c r="M79" s="1">
        <v>7000</v>
      </c>
      <c r="N79" s="1">
        <f t="shared" si="5"/>
        <v>2285.7142857142858</v>
      </c>
      <c r="O79" s="1">
        <f t="shared" si="6"/>
        <v>2285.7142857142858</v>
      </c>
      <c r="P79" s="1">
        <f t="shared" si="7"/>
        <v>2285.7142857142858</v>
      </c>
      <c r="Q79" s="1">
        <f t="shared" si="8"/>
        <v>2285.7142857142858</v>
      </c>
      <c r="R79" s="1">
        <f t="shared" si="9"/>
        <v>2285.7142857142858</v>
      </c>
    </row>
    <row r="80" spans="1:18" x14ac:dyDescent="0.3">
      <c r="A80" t="s">
        <v>18</v>
      </c>
      <c r="B80" t="s">
        <v>19</v>
      </c>
      <c r="C80" t="s">
        <v>63</v>
      </c>
      <c r="D80" t="s">
        <v>64</v>
      </c>
      <c r="E80" t="s">
        <v>90</v>
      </c>
      <c r="F80" t="s">
        <v>92</v>
      </c>
      <c r="G80" s="1">
        <v>0</v>
      </c>
      <c r="H80" s="1">
        <v>0</v>
      </c>
      <c r="I80" s="1">
        <v>117000</v>
      </c>
      <c r="J80" s="1">
        <v>40000</v>
      </c>
      <c r="K80" s="1">
        <v>133000</v>
      </c>
      <c r="L80" s="1">
        <v>138000</v>
      </c>
      <c r="M80" s="1">
        <v>360000</v>
      </c>
      <c r="N80" s="1">
        <f t="shared" si="5"/>
        <v>112571.42857142857</v>
      </c>
      <c r="O80" s="1">
        <f t="shared" si="6"/>
        <v>112571.42857142857</v>
      </c>
      <c r="P80" s="1">
        <f t="shared" si="7"/>
        <v>112571.42857142857</v>
      </c>
      <c r="Q80" s="1">
        <f t="shared" si="8"/>
        <v>112571.42857142857</v>
      </c>
      <c r="R80" s="1">
        <f t="shared" si="9"/>
        <v>112571.42857142858</v>
      </c>
    </row>
    <row r="81" spans="1:18" x14ac:dyDescent="0.3">
      <c r="A81" t="s">
        <v>18</v>
      </c>
      <c r="B81" t="s">
        <v>19</v>
      </c>
      <c r="C81" t="s">
        <v>63</v>
      </c>
      <c r="D81" t="s">
        <v>64</v>
      </c>
      <c r="E81" t="s">
        <v>90</v>
      </c>
      <c r="F81" t="s">
        <v>93</v>
      </c>
      <c r="G81" s="1">
        <v>18300</v>
      </c>
      <c r="H81" s="1">
        <v>26300</v>
      </c>
      <c r="I81" s="1">
        <v>43100</v>
      </c>
      <c r="J81" s="1">
        <v>21300</v>
      </c>
      <c r="K81" s="1">
        <v>25800</v>
      </c>
      <c r="L81" s="1">
        <v>51760</v>
      </c>
      <c r="M81" s="1">
        <v>93780</v>
      </c>
      <c r="N81" s="1">
        <f t="shared" si="5"/>
        <v>40048.571428571428</v>
      </c>
      <c r="O81" s="1">
        <f t="shared" si="6"/>
        <v>40048.571428571428</v>
      </c>
      <c r="P81" s="1">
        <f t="shared" si="7"/>
        <v>40048.571428571428</v>
      </c>
      <c r="Q81" s="1">
        <f t="shared" si="8"/>
        <v>40048.571428571428</v>
      </c>
      <c r="R81" s="1">
        <f t="shared" si="9"/>
        <v>40048.571428571428</v>
      </c>
    </row>
    <row r="82" spans="1:18" x14ac:dyDescent="0.3">
      <c r="A82" t="s">
        <v>18</v>
      </c>
      <c r="B82" t="s">
        <v>19</v>
      </c>
      <c r="C82" t="s">
        <v>63</v>
      </c>
      <c r="D82" t="s">
        <v>64</v>
      </c>
      <c r="E82" t="s">
        <v>42</v>
      </c>
      <c r="F82" t="s">
        <v>43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922728</v>
      </c>
      <c r="M82" s="1">
        <v>890000</v>
      </c>
      <c r="N82" s="1">
        <f t="shared" si="5"/>
        <v>258961.14285714287</v>
      </c>
      <c r="O82" s="1">
        <f t="shared" si="6"/>
        <v>258961.14285714287</v>
      </c>
      <c r="P82" s="1">
        <f t="shared" si="7"/>
        <v>258961.14285714287</v>
      </c>
      <c r="Q82" s="1">
        <f t="shared" si="8"/>
        <v>258961.14285714287</v>
      </c>
      <c r="R82" s="1">
        <f t="shared" si="9"/>
        <v>258961.14285714284</v>
      </c>
    </row>
    <row r="83" spans="1:18" x14ac:dyDescent="0.3">
      <c r="A83" t="s">
        <v>18</v>
      </c>
      <c r="B83" t="s">
        <v>19</v>
      </c>
      <c r="C83" t="s">
        <v>63</v>
      </c>
      <c r="D83" t="s">
        <v>64</v>
      </c>
      <c r="E83" t="s">
        <v>44</v>
      </c>
      <c r="F83" t="s">
        <v>60</v>
      </c>
      <c r="G83" s="1">
        <v>0</v>
      </c>
      <c r="H83" s="1">
        <v>0</v>
      </c>
      <c r="I83" s="1">
        <v>0</v>
      </c>
      <c r="J83" s="1">
        <v>224420</v>
      </c>
      <c r="K83" s="1">
        <v>0</v>
      </c>
      <c r="L83" s="1">
        <v>0</v>
      </c>
      <c r="M83" s="1">
        <v>0</v>
      </c>
      <c r="N83" s="1">
        <f t="shared" si="5"/>
        <v>32060</v>
      </c>
      <c r="O83" s="1">
        <f t="shared" si="6"/>
        <v>32060</v>
      </c>
      <c r="P83" s="1">
        <f t="shared" si="7"/>
        <v>32060</v>
      </c>
      <c r="Q83" s="1">
        <f t="shared" si="8"/>
        <v>32060</v>
      </c>
      <c r="R83" s="1">
        <f t="shared" si="9"/>
        <v>32060</v>
      </c>
    </row>
    <row r="84" spans="1:18" x14ac:dyDescent="0.3">
      <c r="A84" t="s">
        <v>18</v>
      </c>
      <c r="B84" t="s">
        <v>19</v>
      </c>
      <c r="C84" t="s">
        <v>63</v>
      </c>
      <c r="D84" t="s">
        <v>64</v>
      </c>
      <c r="E84" t="s">
        <v>44</v>
      </c>
      <c r="F84" t="s">
        <v>94</v>
      </c>
      <c r="G84" s="1">
        <v>25000</v>
      </c>
      <c r="H84" s="1">
        <v>25000</v>
      </c>
      <c r="I84" s="1">
        <v>25000</v>
      </c>
      <c r="J84" s="1">
        <v>25000</v>
      </c>
      <c r="K84" s="1">
        <v>25000</v>
      </c>
      <c r="L84" s="1">
        <v>25000</v>
      </c>
      <c r="M84" s="1">
        <v>25000</v>
      </c>
      <c r="N84" s="1">
        <f t="shared" si="5"/>
        <v>25000</v>
      </c>
      <c r="O84" s="1">
        <f t="shared" si="6"/>
        <v>25000</v>
      </c>
      <c r="P84" s="1">
        <f t="shared" si="7"/>
        <v>25000</v>
      </c>
      <c r="Q84" s="1">
        <f t="shared" si="8"/>
        <v>25000</v>
      </c>
      <c r="R84" s="1">
        <f t="shared" si="9"/>
        <v>25000</v>
      </c>
    </row>
    <row r="85" spans="1:18" x14ac:dyDescent="0.3">
      <c r="A85" t="s">
        <v>18</v>
      </c>
      <c r="B85" t="s">
        <v>19</v>
      </c>
      <c r="C85" t="s">
        <v>63</v>
      </c>
      <c r="D85" t="s">
        <v>64</v>
      </c>
      <c r="E85" t="s">
        <v>44</v>
      </c>
      <c r="F85" t="s">
        <v>45</v>
      </c>
      <c r="G85" s="1">
        <v>2748520</v>
      </c>
      <c r="H85" s="1">
        <v>7671601</v>
      </c>
      <c r="I85" s="1">
        <v>3572201</v>
      </c>
      <c r="J85" s="1">
        <v>4194483</v>
      </c>
      <c r="K85" s="1">
        <v>4441946</v>
      </c>
      <c r="L85" s="1">
        <v>3015600</v>
      </c>
      <c r="M85" s="1">
        <v>3993600</v>
      </c>
      <c r="N85" s="1">
        <f t="shared" si="5"/>
        <v>4233993</v>
      </c>
      <c r="O85" s="1">
        <f t="shared" si="6"/>
        <v>4233993</v>
      </c>
      <c r="P85" s="1">
        <f t="shared" si="7"/>
        <v>4233993</v>
      </c>
      <c r="Q85" s="1">
        <f t="shared" si="8"/>
        <v>4233993</v>
      </c>
      <c r="R85" s="1">
        <f t="shared" si="9"/>
        <v>4233993</v>
      </c>
    </row>
    <row r="86" spans="1:18" x14ac:dyDescent="0.3">
      <c r="A86" t="s">
        <v>18</v>
      </c>
      <c r="B86" t="s">
        <v>19</v>
      </c>
      <c r="C86" t="s">
        <v>63</v>
      </c>
      <c r="D86" t="s">
        <v>64</v>
      </c>
      <c r="E86" t="s">
        <v>46</v>
      </c>
      <c r="F86" t="s">
        <v>61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f t="shared" si="5"/>
        <v>0</v>
      </c>
      <c r="O86" s="1">
        <f t="shared" si="6"/>
        <v>0</v>
      </c>
      <c r="P86" s="1">
        <f t="shared" si="7"/>
        <v>0</v>
      </c>
      <c r="Q86" s="1">
        <f t="shared" si="8"/>
        <v>0</v>
      </c>
      <c r="R86" s="1">
        <f t="shared" si="9"/>
        <v>0</v>
      </c>
    </row>
    <row r="87" spans="1:18" x14ac:dyDescent="0.3">
      <c r="A87" t="s">
        <v>18</v>
      </c>
      <c r="B87" t="s">
        <v>19</v>
      </c>
      <c r="C87" t="s">
        <v>63</v>
      </c>
      <c r="D87" t="s">
        <v>64</v>
      </c>
      <c r="E87" t="s">
        <v>46</v>
      </c>
      <c r="F87" t="s">
        <v>62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483471</v>
      </c>
      <c r="N87" s="1">
        <f t="shared" si="5"/>
        <v>69067.28571428571</v>
      </c>
      <c r="O87" s="1">
        <f t="shared" si="6"/>
        <v>69067.28571428571</v>
      </c>
      <c r="P87" s="1">
        <f t="shared" si="7"/>
        <v>69067.28571428571</v>
      </c>
      <c r="Q87" s="1">
        <f t="shared" si="8"/>
        <v>69067.28571428571</v>
      </c>
      <c r="R87" s="1">
        <f t="shared" si="9"/>
        <v>69067.285714285696</v>
      </c>
    </row>
    <row r="88" spans="1:18" x14ac:dyDescent="0.3">
      <c r="A88" t="s">
        <v>18</v>
      </c>
      <c r="B88" t="s">
        <v>19</v>
      </c>
      <c r="C88" t="s">
        <v>63</v>
      </c>
      <c r="D88" t="s">
        <v>64</v>
      </c>
      <c r="E88" t="s">
        <v>46</v>
      </c>
      <c r="F88" t="s">
        <v>47</v>
      </c>
      <c r="G88" s="1">
        <v>6724593</v>
      </c>
      <c r="H88" s="1">
        <v>6339437</v>
      </c>
      <c r="I88" s="1">
        <v>1893540</v>
      </c>
      <c r="J88" s="1">
        <v>9662785</v>
      </c>
      <c r="K88" s="1">
        <v>5724365</v>
      </c>
      <c r="L88" s="1">
        <v>3306729</v>
      </c>
      <c r="M88" s="1">
        <v>6745895</v>
      </c>
      <c r="N88" s="1">
        <f t="shared" si="5"/>
        <v>5771049.1428571427</v>
      </c>
      <c r="O88" s="1">
        <f t="shared" si="6"/>
        <v>5771049.1428571427</v>
      </c>
      <c r="P88" s="1">
        <f t="shared" si="7"/>
        <v>5771049.1428571427</v>
      </c>
      <c r="Q88" s="1">
        <f t="shared" si="8"/>
        <v>5771049.1428571427</v>
      </c>
      <c r="R88" s="1">
        <f t="shared" si="9"/>
        <v>5771049.1428571427</v>
      </c>
    </row>
    <row r="89" spans="1:18" x14ac:dyDescent="0.3">
      <c r="A89" t="s">
        <v>18</v>
      </c>
      <c r="B89" t="s">
        <v>19</v>
      </c>
      <c r="C89" t="s">
        <v>63</v>
      </c>
      <c r="D89" t="s">
        <v>64</v>
      </c>
      <c r="E89" t="s">
        <v>48</v>
      </c>
      <c r="F89" t="s">
        <v>48</v>
      </c>
      <c r="G89" s="1">
        <v>320000</v>
      </c>
      <c r="H89" s="1">
        <v>0</v>
      </c>
      <c r="I89" s="1">
        <v>0</v>
      </c>
      <c r="J89" s="1">
        <v>640000</v>
      </c>
      <c r="K89" s="1">
        <v>0</v>
      </c>
      <c r="L89" s="1">
        <v>0</v>
      </c>
      <c r="M89" s="1">
        <v>0</v>
      </c>
      <c r="N89" s="1">
        <f t="shared" si="5"/>
        <v>137142.85714285713</v>
      </c>
      <c r="O89" s="1">
        <f t="shared" si="6"/>
        <v>137142.85714285713</v>
      </c>
      <c r="P89" s="1">
        <f t="shared" si="7"/>
        <v>137142.85714285713</v>
      </c>
      <c r="Q89" s="1">
        <f t="shared" si="8"/>
        <v>137142.8571428571</v>
      </c>
      <c r="R89" s="1">
        <f t="shared" si="9"/>
        <v>137142.8571428571</v>
      </c>
    </row>
    <row r="90" spans="1:18" x14ac:dyDescent="0.3">
      <c r="A90" t="s">
        <v>18</v>
      </c>
      <c r="B90" t="s">
        <v>19</v>
      </c>
      <c r="C90" t="s">
        <v>63</v>
      </c>
      <c r="D90" t="s">
        <v>64</v>
      </c>
      <c r="E90" t="s">
        <v>48</v>
      </c>
      <c r="F90" t="s">
        <v>49</v>
      </c>
      <c r="G90" s="1">
        <v>637</v>
      </c>
      <c r="H90" s="1">
        <v>0</v>
      </c>
      <c r="I90" s="1">
        <v>6173</v>
      </c>
      <c r="J90" s="1">
        <v>4910</v>
      </c>
      <c r="K90" s="1">
        <v>480995</v>
      </c>
      <c r="L90" s="1">
        <v>64990</v>
      </c>
      <c r="M90" s="1">
        <v>0</v>
      </c>
      <c r="N90" s="1">
        <f t="shared" si="5"/>
        <v>79672.142857142855</v>
      </c>
      <c r="O90" s="1">
        <f t="shared" si="6"/>
        <v>79672.142857142855</v>
      </c>
      <c r="P90" s="1">
        <f t="shared" si="7"/>
        <v>79672.142857142855</v>
      </c>
      <c r="Q90" s="1">
        <f t="shared" si="8"/>
        <v>79672.142857142855</v>
      </c>
      <c r="R90" s="1">
        <f t="shared" si="9"/>
        <v>79672.142857142855</v>
      </c>
    </row>
    <row r="91" spans="1:18" x14ac:dyDescent="0.3">
      <c r="A91" t="s">
        <v>18</v>
      </c>
      <c r="B91" t="s">
        <v>19</v>
      </c>
      <c r="C91" t="s">
        <v>63</v>
      </c>
      <c r="D91" t="s">
        <v>64</v>
      </c>
      <c r="E91" t="s">
        <v>50</v>
      </c>
      <c r="F91" t="s">
        <v>95</v>
      </c>
      <c r="G91" s="1">
        <v>134730000</v>
      </c>
      <c r="H91" s="1">
        <v>0</v>
      </c>
      <c r="I91" s="1">
        <v>70643159</v>
      </c>
      <c r="J91" s="1">
        <v>44444160</v>
      </c>
      <c r="K91" s="1">
        <v>15014720</v>
      </c>
      <c r="L91" s="1">
        <v>30166080</v>
      </c>
      <c r="M91" s="1">
        <v>15034720</v>
      </c>
      <c r="N91" s="1">
        <f t="shared" si="5"/>
        <v>44290405.571428575</v>
      </c>
      <c r="O91" s="1">
        <v>30000000</v>
      </c>
      <c r="P91" s="1">
        <f t="shared" si="7"/>
        <v>42702582.730158731</v>
      </c>
      <c r="Q91" s="1">
        <v>30000000</v>
      </c>
      <c r="R91" s="1">
        <f t="shared" si="9"/>
        <v>41547802.481962487</v>
      </c>
    </row>
    <row r="92" spans="1:18" x14ac:dyDescent="0.3">
      <c r="A92" t="s">
        <v>18</v>
      </c>
      <c r="B92" t="s">
        <v>19</v>
      </c>
      <c r="C92" t="s">
        <v>63</v>
      </c>
      <c r="D92" t="s">
        <v>64</v>
      </c>
      <c r="E92" t="s">
        <v>50</v>
      </c>
      <c r="F92" t="s">
        <v>96</v>
      </c>
      <c r="G92" s="1">
        <v>33828636</v>
      </c>
      <c r="H92" s="1">
        <v>60014496</v>
      </c>
      <c r="I92" s="1">
        <v>26644566</v>
      </c>
      <c r="J92" s="1">
        <v>26272839</v>
      </c>
      <c r="K92" s="1">
        <v>36695185</v>
      </c>
      <c r="L92" s="1">
        <v>42520039</v>
      </c>
      <c r="M92" s="1">
        <v>45127439</v>
      </c>
      <c r="N92" s="1">
        <f t="shared" si="5"/>
        <v>38729028.571428575</v>
      </c>
      <c r="O92" s="1">
        <f t="shared" si="6"/>
        <v>38729028.571428575</v>
      </c>
      <c r="P92" s="1">
        <f t="shared" si="7"/>
        <v>38729028.571428575</v>
      </c>
      <c r="Q92" s="1">
        <f t="shared" si="8"/>
        <v>38729028.571428582</v>
      </c>
      <c r="R92" s="1">
        <f t="shared" si="9"/>
        <v>38729028.571428582</v>
      </c>
    </row>
    <row r="93" spans="1:18" x14ac:dyDescent="0.3">
      <c r="A93" t="s">
        <v>18</v>
      </c>
      <c r="B93" t="s">
        <v>19</v>
      </c>
      <c r="C93" t="s">
        <v>63</v>
      </c>
      <c r="D93" t="s">
        <v>64</v>
      </c>
      <c r="E93" t="s">
        <v>50</v>
      </c>
      <c r="F93" t="s">
        <v>51</v>
      </c>
      <c r="G93" s="1">
        <v>13021900</v>
      </c>
      <c r="H93" s="1">
        <v>1593300</v>
      </c>
      <c r="I93" s="1">
        <v>28000</v>
      </c>
      <c r="J93" s="1">
        <v>3946000</v>
      </c>
      <c r="K93" s="1">
        <v>1885680</v>
      </c>
      <c r="L93" s="1">
        <v>3800700</v>
      </c>
      <c r="M93" s="1">
        <v>24794600</v>
      </c>
      <c r="N93" s="1">
        <f t="shared" si="5"/>
        <v>7010025.7142857146</v>
      </c>
      <c r="O93" s="1">
        <v>0</v>
      </c>
      <c r="P93" s="1">
        <f t="shared" si="7"/>
        <v>6231133.9682539683</v>
      </c>
      <c r="Q93" s="1">
        <v>0</v>
      </c>
      <c r="R93" s="1">
        <f t="shared" si="9"/>
        <v>5664667.2438672446</v>
      </c>
    </row>
    <row r="94" spans="1:18" x14ac:dyDescent="0.3">
      <c r="A94" t="s">
        <v>18</v>
      </c>
      <c r="B94" t="s">
        <v>19</v>
      </c>
      <c r="C94" t="s">
        <v>63</v>
      </c>
      <c r="D94" t="s">
        <v>64</v>
      </c>
      <c r="E94" t="s">
        <v>97</v>
      </c>
      <c r="F94" t="s">
        <v>98</v>
      </c>
      <c r="G94" s="1">
        <v>0</v>
      </c>
      <c r="H94" s="1">
        <v>194546</v>
      </c>
      <c r="I94" s="1">
        <v>0</v>
      </c>
      <c r="J94" s="1">
        <v>0</v>
      </c>
      <c r="K94" s="1">
        <v>0</v>
      </c>
      <c r="L94" s="1">
        <v>197273</v>
      </c>
      <c r="M94" s="1">
        <v>54328</v>
      </c>
      <c r="N94" s="1">
        <f t="shared" si="5"/>
        <v>63735.285714285717</v>
      </c>
      <c r="O94" s="1">
        <f t="shared" si="6"/>
        <v>63735.285714285717</v>
      </c>
      <c r="P94" s="1">
        <f t="shared" si="7"/>
        <v>63735.285714285717</v>
      </c>
      <c r="Q94" s="1">
        <f t="shared" si="8"/>
        <v>63735.285714285717</v>
      </c>
      <c r="R94" s="1">
        <f t="shared" si="9"/>
        <v>63735.28571428571</v>
      </c>
    </row>
    <row r="95" spans="1:18" x14ac:dyDescent="0.3">
      <c r="A95" t="s">
        <v>18</v>
      </c>
      <c r="B95" t="s">
        <v>19</v>
      </c>
      <c r="C95" t="s">
        <v>99</v>
      </c>
      <c r="D95" t="s">
        <v>100</v>
      </c>
      <c r="E95" t="s">
        <v>22</v>
      </c>
      <c r="F95" t="s">
        <v>23</v>
      </c>
      <c r="G95" s="1">
        <v>186644</v>
      </c>
      <c r="H95" s="1">
        <v>111648</v>
      </c>
      <c r="I95" s="1">
        <v>184026</v>
      </c>
      <c r="J95" s="1">
        <v>123375</v>
      </c>
      <c r="K95" s="1">
        <v>139741</v>
      </c>
      <c r="L95" s="1">
        <v>145922</v>
      </c>
      <c r="M95" s="1">
        <v>126641</v>
      </c>
      <c r="N95" s="1">
        <f t="shared" si="5"/>
        <v>145428.14285714287</v>
      </c>
      <c r="O95" s="1">
        <f t="shared" si="6"/>
        <v>145428.14285714287</v>
      </c>
      <c r="P95" s="1">
        <f t="shared" si="7"/>
        <v>145428.14285714287</v>
      </c>
      <c r="Q95" s="1">
        <f t="shared" si="8"/>
        <v>145428.1428571429</v>
      </c>
      <c r="R95" s="1">
        <f t="shared" si="9"/>
        <v>145428.1428571429</v>
      </c>
    </row>
    <row r="96" spans="1:18" x14ac:dyDescent="0.3">
      <c r="A96" t="s">
        <v>18</v>
      </c>
      <c r="B96" t="s">
        <v>19</v>
      </c>
      <c r="C96" t="s">
        <v>99</v>
      </c>
      <c r="D96" t="s">
        <v>100</v>
      </c>
      <c r="E96" t="s">
        <v>22</v>
      </c>
      <c r="F96" t="s">
        <v>24</v>
      </c>
      <c r="G96" s="1">
        <v>298273</v>
      </c>
      <c r="H96" s="1">
        <v>66182</v>
      </c>
      <c r="I96" s="1">
        <v>289457</v>
      </c>
      <c r="J96" s="1">
        <v>349280</v>
      </c>
      <c r="K96" s="1">
        <v>11910</v>
      </c>
      <c r="L96" s="1">
        <v>292728</v>
      </c>
      <c r="M96" s="1">
        <v>511826</v>
      </c>
      <c r="N96" s="1">
        <f t="shared" si="5"/>
        <v>259950.85714285713</v>
      </c>
      <c r="O96" s="1">
        <f t="shared" si="6"/>
        <v>259950.85714285713</v>
      </c>
      <c r="P96" s="1">
        <f t="shared" si="7"/>
        <v>259950.85714285713</v>
      </c>
      <c r="Q96" s="1">
        <f t="shared" si="8"/>
        <v>259950.85714285713</v>
      </c>
      <c r="R96" s="1">
        <f t="shared" si="9"/>
        <v>259950.85714285716</v>
      </c>
    </row>
    <row r="97" spans="1:18" x14ac:dyDescent="0.3">
      <c r="A97" t="s">
        <v>18</v>
      </c>
      <c r="B97" t="s">
        <v>19</v>
      </c>
      <c r="C97" t="s">
        <v>99</v>
      </c>
      <c r="D97" t="s">
        <v>100</v>
      </c>
      <c r="E97" t="s">
        <v>22</v>
      </c>
      <c r="F97" t="s">
        <v>25</v>
      </c>
      <c r="G97" s="1">
        <v>54450</v>
      </c>
      <c r="H97" s="1">
        <v>54450</v>
      </c>
      <c r="I97" s="1">
        <v>54450</v>
      </c>
      <c r="J97" s="1">
        <v>55590</v>
      </c>
      <c r="K97" s="1">
        <v>55590</v>
      </c>
      <c r="L97" s="1">
        <v>55590</v>
      </c>
      <c r="M97" s="1">
        <v>55590</v>
      </c>
      <c r="N97" s="1">
        <f t="shared" si="5"/>
        <v>55101.428571428572</v>
      </c>
      <c r="O97" s="1">
        <f t="shared" si="6"/>
        <v>55101.428571428572</v>
      </c>
      <c r="P97" s="1">
        <f t="shared" si="7"/>
        <v>55101.428571428572</v>
      </c>
      <c r="Q97" s="1">
        <f t="shared" si="8"/>
        <v>55101.428571428565</v>
      </c>
      <c r="R97" s="1">
        <f t="shared" si="9"/>
        <v>55101.428571428565</v>
      </c>
    </row>
    <row r="98" spans="1:18" x14ac:dyDescent="0.3">
      <c r="A98" t="s">
        <v>18</v>
      </c>
      <c r="B98" t="s">
        <v>19</v>
      </c>
      <c r="C98" t="s">
        <v>99</v>
      </c>
      <c r="D98" t="s">
        <v>100</v>
      </c>
      <c r="E98" t="s">
        <v>22</v>
      </c>
      <c r="F98" t="s">
        <v>26</v>
      </c>
      <c r="G98" s="1">
        <v>0</v>
      </c>
      <c r="H98" s="1">
        <v>200000</v>
      </c>
      <c r="I98" s="1">
        <v>0</v>
      </c>
      <c r="J98" s="1">
        <v>0</v>
      </c>
      <c r="K98" s="1">
        <v>100000</v>
      </c>
      <c r="L98" s="1">
        <v>100000</v>
      </c>
      <c r="M98" s="1">
        <v>0</v>
      </c>
      <c r="N98" s="1">
        <f t="shared" si="5"/>
        <v>57142.857142857145</v>
      </c>
      <c r="O98" s="1">
        <f t="shared" si="6"/>
        <v>57142.857142857145</v>
      </c>
      <c r="P98" s="1">
        <f t="shared" si="7"/>
        <v>57142.857142857145</v>
      </c>
      <c r="Q98" s="1">
        <f t="shared" si="8"/>
        <v>57142.857142857145</v>
      </c>
      <c r="R98" s="1">
        <f t="shared" si="9"/>
        <v>57142.857142857152</v>
      </c>
    </row>
    <row r="99" spans="1:18" x14ac:dyDescent="0.3">
      <c r="A99" t="s">
        <v>18</v>
      </c>
      <c r="B99" t="s">
        <v>19</v>
      </c>
      <c r="C99" t="s">
        <v>99</v>
      </c>
      <c r="D99" t="s">
        <v>100</v>
      </c>
      <c r="E99" t="s">
        <v>22</v>
      </c>
      <c r="F99" t="s">
        <v>55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f t="shared" si="5"/>
        <v>0</v>
      </c>
      <c r="O99" s="1">
        <f t="shared" si="6"/>
        <v>0</v>
      </c>
      <c r="P99" s="1">
        <f t="shared" si="7"/>
        <v>0</v>
      </c>
      <c r="Q99" s="1">
        <f t="shared" si="8"/>
        <v>0</v>
      </c>
      <c r="R99" s="1">
        <f t="shared" si="9"/>
        <v>0</v>
      </c>
    </row>
    <row r="100" spans="1:18" x14ac:dyDescent="0.3">
      <c r="A100" t="s">
        <v>18</v>
      </c>
      <c r="B100" t="s">
        <v>19</v>
      </c>
      <c r="C100" t="s">
        <v>99</v>
      </c>
      <c r="D100" t="s">
        <v>100</v>
      </c>
      <c r="E100" t="s">
        <v>22</v>
      </c>
      <c r="F100" t="s">
        <v>27</v>
      </c>
      <c r="G100" s="1">
        <v>4270810</v>
      </c>
      <c r="H100" s="1">
        <v>4626520</v>
      </c>
      <c r="I100" s="1">
        <v>4626520</v>
      </c>
      <c r="J100" s="1">
        <v>6530590</v>
      </c>
      <c r="K100" s="1">
        <v>4817760</v>
      </c>
      <c r="L100" s="1">
        <v>4817760</v>
      </c>
      <c r="M100" s="1">
        <v>4964670</v>
      </c>
      <c r="N100" s="1">
        <f t="shared" si="5"/>
        <v>4950661.4285714282</v>
      </c>
      <c r="O100" s="1">
        <f t="shared" si="6"/>
        <v>4950661.4285714282</v>
      </c>
      <c r="P100" s="1">
        <f t="shared" si="7"/>
        <v>4950661.4285714282</v>
      </c>
      <c r="Q100" s="1">
        <f t="shared" si="8"/>
        <v>4950661.4285714272</v>
      </c>
      <c r="R100" s="1">
        <f t="shared" si="9"/>
        <v>4950661.4285714272</v>
      </c>
    </row>
    <row r="101" spans="1:18" x14ac:dyDescent="0.3">
      <c r="A101" t="s">
        <v>18</v>
      </c>
      <c r="B101" t="s">
        <v>19</v>
      </c>
      <c r="C101" t="s">
        <v>99</v>
      </c>
      <c r="D101" t="s">
        <v>100</v>
      </c>
      <c r="E101" t="s">
        <v>28</v>
      </c>
      <c r="F101" t="s">
        <v>101</v>
      </c>
      <c r="G101" s="1">
        <v>0</v>
      </c>
      <c r="H101" s="1">
        <v>0</v>
      </c>
      <c r="I101" s="1">
        <v>0</v>
      </c>
      <c r="J101" s="1">
        <v>0</v>
      </c>
      <c r="K101" s="1">
        <v>71740</v>
      </c>
      <c r="L101" s="1">
        <v>0</v>
      </c>
      <c r="M101" s="1">
        <v>0</v>
      </c>
      <c r="N101" s="1">
        <f t="shared" si="5"/>
        <v>10248.571428571429</v>
      </c>
      <c r="O101" s="1">
        <f t="shared" si="6"/>
        <v>10248.571428571429</v>
      </c>
      <c r="P101" s="1">
        <f t="shared" si="7"/>
        <v>10248.571428571429</v>
      </c>
      <c r="Q101" s="1">
        <f t="shared" si="8"/>
        <v>10248.571428571431</v>
      </c>
      <c r="R101" s="1">
        <f t="shared" si="9"/>
        <v>10248.571428571431</v>
      </c>
    </row>
    <row r="102" spans="1:18" x14ac:dyDescent="0.3">
      <c r="A102" t="s">
        <v>18</v>
      </c>
      <c r="B102" t="s">
        <v>19</v>
      </c>
      <c r="C102" t="s">
        <v>99</v>
      </c>
      <c r="D102" t="s">
        <v>100</v>
      </c>
      <c r="E102" t="s">
        <v>28</v>
      </c>
      <c r="F102" t="s">
        <v>29</v>
      </c>
      <c r="G102" s="1">
        <v>54554</v>
      </c>
      <c r="H102" s="1">
        <v>29907</v>
      </c>
      <c r="I102" s="1">
        <v>309802</v>
      </c>
      <c r="J102" s="1">
        <v>160174</v>
      </c>
      <c r="K102" s="1">
        <v>125791</v>
      </c>
      <c r="L102" s="1">
        <v>133692</v>
      </c>
      <c r="M102" s="1">
        <v>191919</v>
      </c>
      <c r="N102" s="1">
        <f t="shared" si="5"/>
        <v>143691.28571428571</v>
      </c>
      <c r="O102" s="1">
        <f t="shared" si="6"/>
        <v>143691.28571428571</v>
      </c>
      <c r="P102" s="1">
        <f t="shared" si="7"/>
        <v>143691.28571428571</v>
      </c>
      <c r="Q102" s="1">
        <f t="shared" si="8"/>
        <v>143691.28571428571</v>
      </c>
      <c r="R102" s="1">
        <f t="shared" si="9"/>
        <v>143691.28571428571</v>
      </c>
    </row>
    <row r="103" spans="1:18" x14ac:dyDescent="0.3">
      <c r="A103" t="s">
        <v>18</v>
      </c>
      <c r="B103" t="s">
        <v>19</v>
      </c>
      <c r="C103" t="s">
        <v>99</v>
      </c>
      <c r="D103" t="s">
        <v>100</v>
      </c>
      <c r="E103" t="s">
        <v>28</v>
      </c>
      <c r="F103" t="s">
        <v>30</v>
      </c>
      <c r="G103" s="1">
        <v>0</v>
      </c>
      <c r="H103" s="1">
        <v>0</v>
      </c>
      <c r="I103" s="1">
        <v>0</v>
      </c>
      <c r="J103" s="1">
        <v>29100</v>
      </c>
      <c r="K103" s="1">
        <v>0</v>
      </c>
      <c r="L103" s="1">
        <v>0</v>
      </c>
      <c r="M103" s="1">
        <v>7600</v>
      </c>
      <c r="N103" s="1">
        <f t="shared" si="5"/>
        <v>5242.8571428571431</v>
      </c>
      <c r="O103" s="1">
        <f t="shared" si="6"/>
        <v>5242.8571428571431</v>
      </c>
      <c r="P103" s="1">
        <f t="shared" si="7"/>
        <v>5242.8571428571431</v>
      </c>
      <c r="Q103" s="1">
        <f t="shared" si="8"/>
        <v>5242.8571428571431</v>
      </c>
      <c r="R103" s="1">
        <f t="shared" si="9"/>
        <v>5242.857142857144</v>
      </c>
    </row>
    <row r="104" spans="1:18" x14ac:dyDescent="0.3">
      <c r="A104" t="s">
        <v>18</v>
      </c>
      <c r="B104" t="s">
        <v>19</v>
      </c>
      <c r="C104" t="s">
        <v>99</v>
      </c>
      <c r="D104" t="s">
        <v>100</v>
      </c>
      <c r="E104" t="s">
        <v>28</v>
      </c>
      <c r="F104" t="s">
        <v>102</v>
      </c>
      <c r="G104" s="1">
        <v>0</v>
      </c>
      <c r="H104" s="1">
        <v>0</v>
      </c>
      <c r="I104" s="1">
        <v>0</v>
      </c>
      <c r="J104" s="1">
        <v>0</v>
      </c>
      <c r="K104" s="1">
        <v>120000</v>
      </c>
      <c r="L104" s="1">
        <v>0</v>
      </c>
      <c r="M104" s="1">
        <v>0</v>
      </c>
      <c r="N104" s="1">
        <f t="shared" si="5"/>
        <v>17142.857142857141</v>
      </c>
      <c r="O104" s="1">
        <f t="shared" si="6"/>
        <v>17142.857142857141</v>
      </c>
      <c r="P104" s="1">
        <f t="shared" si="7"/>
        <v>17142.857142857141</v>
      </c>
      <c r="Q104" s="1">
        <f t="shared" si="8"/>
        <v>17142.857142857138</v>
      </c>
      <c r="R104" s="1">
        <f t="shared" si="9"/>
        <v>17142.857142857138</v>
      </c>
    </row>
    <row r="105" spans="1:18" x14ac:dyDescent="0.3">
      <c r="A105" t="s">
        <v>18</v>
      </c>
      <c r="B105" t="s">
        <v>19</v>
      </c>
      <c r="C105" t="s">
        <v>99</v>
      </c>
      <c r="D105" t="s">
        <v>100</v>
      </c>
      <c r="E105" t="s">
        <v>103</v>
      </c>
      <c r="F105" t="s">
        <v>104</v>
      </c>
      <c r="G105" s="1">
        <v>12608840</v>
      </c>
      <c r="H105" s="1">
        <v>9844880</v>
      </c>
      <c r="I105" s="1">
        <v>10482290</v>
      </c>
      <c r="J105" s="1">
        <v>10930070</v>
      </c>
      <c r="K105" s="1">
        <v>14738210</v>
      </c>
      <c r="L105" s="1">
        <v>14453300</v>
      </c>
      <c r="M105" s="1">
        <v>20464280</v>
      </c>
      <c r="N105" s="1">
        <f t="shared" si="5"/>
        <v>13360267.142857144</v>
      </c>
      <c r="O105" s="1">
        <f t="shared" si="6"/>
        <v>13360267.142857144</v>
      </c>
      <c r="P105" s="1">
        <f t="shared" si="7"/>
        <v>13360267.142857144</v>
      </c>
      <c r="Q105" s="1">
        <f t="shared" si="8"/>
        <v>13360267.142857146</v>
      </c>
      <c r="R105" s="1">
        <f t="shared" si="9"/>
        <v>13360267.142857146</v>
      </c>
    </row>
    <row r="106" spans="1:18" x14ac:dyDescent="0.3">
      <c r="A106" t="s">
        <v>18</v>
      </c>
      <c r="B106" t="s">
        <v>19</v>
      </c>
      <c r="C106" t="s">
        <v>99</v>
      </c>
      <c r="D106" t="s">
        <v>100</v>
      </c>
      <c r="E106" t="s">
        <v>103</v>
      </c>
      <c r="F106" t="s">
        <v>105</v>
      </c>
      <c r="G106" s="1">
        <v>157161777</v>
      </c>
      <c r="H106" s="1">
        <v>153470775</v>
      </c>
      <c r="I106" s="1">
        <v>146553329</v>
      </c>
      <c r="J106" s="1">
        <v>141570408</v>
      </c>
      <c r="K106" s="1">
        <v>3386665</v>
      </c>
      <c r="L106" s="1">
        <v>141104584</v>
      </c>
      <c r="M106" s="1">
        <v>157938825</v>
      </c>
      <c r="N106" s="1">
        <f t="shared" si="5"/>
        <v>128740909</v>
      </c>
      <c r="O106" s="1">
        <f t="shared" si="6"/>
        <v>128740909</v>
      </c>
      <c r="P106" s="1">
        <f t="shared" si="7"/>
        <v>128740909</v>
      </c>
      <c r="Q106" s="1">
        <f t="shared" si="8"/>
        <v>128740909</v>
      </c>
      <c r="R106" s="1">
        <f t="shared" si="9"/>
        <v>128740909</v>
      </c>
    </row>
    <row r="107" spans="1:18" x14ac:dyDescent="0.3">
      <c r="A107" t="s">
        <v>18</v>
      </c>
      <c r="B107" t="s">
        <v>19</v>
      </c>
      <c r="C107" t="s">
        <v>99</v>
      </c>
      <c r="D107" t="s">
        <v>100</v>
      </c>
      <c r="E107" t="s">
        <v>103</v>
      </c>
      <c r="F107" t="s">
        <v>106</v>
      </c>
      <c r="G107" s="1">
        <v>100462346</v>
      </c>
      <c r="H107" s="1">
        <v>88427032</v>
      </c>
      <c r="I107" s="1">
        <v>98649548</v>
      </c>
      <c r="J107" s="1">
        <v>80596824</v>
      </c>
      <c r="K107" s="1">
        <v>97162276</v>
      </c>
      <c r="L107" s="1">
        <v>86082137</v>
      </c>
      <c r="M107" s="1">
        <v>82874280</v>
      </c>
      <c r="N107" s="1">
        <f t="shared" si="5"/>
        <v>90607777.571428567</v>
      </c>
      <c r="O107" s="1">
        <f t="shared" si="6"/>
        <v>90607777.571428567</v>
      </c>
      <c r="P107" s="1">
        <f t="shared" si="7"/>
        <v>90607777.571428567</v>
      </c>
      <c r="Q107" s="1">
        <f t="shared" si="8"/>
        <v>90607777.571428567</v>
      </c>
      <c r="R107" s="1">
        <f t="shared" si="9"/>
        <v>90607777.571428552</v>
      </c>
    </row>
    <row r="108" spans="1:18" x14ac:dyDescent="0.3">
      <c r="A108" t="s">
        <v>18</v>
      </c>
      <c r="B108" t="s">
        <v>19</v>
      </c>
      <c r="C108" t="s">
        <v>99</v>
      </c>
      <c r="D108" t="s">
        <v>100</v>
      </c>
      <c r="E108" t="s">
        <v>72</v>
      </c>
      <c r="F108" t="s">
        <v>78</v>
      </c>
      <c r="G108" s="1">
        <v>224000</v>
      </c>
      <c r="H108" s="1">
        <v>0</v>
      </c>
      <c r="I108" s="1">
        <v>0</v>
      </c>
      <c r="J108" s="1">
        <v>0</v>
      </c>
      <c r="K108" s="1">
        <v>360000</v>
      </c>
      <c r="L108" s="1">
        <v>0</v>
      </c>
      <c r="M108" s="1">
        <v>0</v>
      </c>
      <c r="N108" s="1">
        <f t="shared" si="5"/>
        <v>83428.571428571435</v>
      </c>
      <c r="O108" s="1">
        <f t="shared" si="6"/>
        <v>83428.571428571435</v>
      </c>
      <c r="P108" s="1">
        <f t="shared" si="7"/>
        <v>83428.571428571435</v>
      </c>
      <c r="Q108" s="1">
        <f t="shared" si="8"/>
        <v>83428.571428571449</v>
      </c>
      <c r="R108" s="1">
        <f t="shared" si="9"/>
        <v>83428.571428571449</v>
      </c>
    </row>
    <row r="109" spans="1:18" x14ac:dyDescent="0.3">
      <c r="A109" t="s">
        <v>18</v>
      </c>
      <c r="B109" t="s">
        <v>19</v>
      </c>
      <c r="C109" t="s">
        <v>99</v>
      </c>
      <c r="D109" t="s">
        <v>100</v>
      </c>
      <c r="E109" t="s">
        <v>72</v>
      </c>
      <c r="F109" t="s">
        <v>107</v>
      </c>
      <c r="G109" s="1">
        <v>4166785</v>
      </c>
      <c r="H109" s="1">
        <v>4059397</v>
      </c>
      <c r="I109" s="1">
        <v>3879871</v>
      </c>
      <c r="J109" s="1">
        <v>3739718</v>
      </c>
      <c r="K109" s="1">
        <v>141747131</v>
      </c>
      <c r="L109" s="1">
        <v>3725604</v>
      </c>
      <c r="M109" s="1">
        <v>4161182</v>
      </c>
      <c r="N109" s="1">
        <f t="shared" si="5"/>
        <v>23639955.428571429</v>
      </c>
      <c r="O109" s="1">
        <v>4000000</v>
      </c>
      <c r="P109" s="1">
        <v>4000000</v>
      </c>
      <c r="Q109" s="1">
        <f t="shared" si="8"/>
        <v>19711964.342857145</v>
      </c>
      <c r="R109" s="1">
        <f t="shared" si="9"/>
        <v>19711964.342857145</v>
      </c>
    </row>
    <row r="110" spans="1:18" x14ac:dyDescent="0.3">
      <c r="A110" t="s">
        <v>18</v>
      </c>
      <c r="B110" t="s">
        <v>19</v>
      </c>
      <c r="C110" t="s">
        <v>99</v>
      </c>
      <c r="D110" t="s">
        <v>100</v>
      </c>
      <c r="E110" t="s">
        <v>31</v>
      </c>
      <c r="F110" t="s">
        <v>32</v>
      </c>
      <c r="G110" s="1">
        <v>32487870</v>
      </c>
      <c r="H110" s="1">
        <v>32487870</v>
      </c>
      <c r="I110" s="1">
        <v>32487870</v>
      </c>
      <c r="J110" s="1">
        <v>32487870</v>
      </c>
      <c r="K110" s="1">
        <v>32487870</v>
      </c>
      <c r="L110" s="1">
        <v>32487870</v>
      </c>
      <c r="M110" s="1">
        <v>32487870</v>
      </c>
      <c r="N110" s="1">
        <f t="shared" si="5"/>
        <v>32487870</v>
      </c>
      <c r="O110" s="1">
        <f t="shared" si="6"/>
        <v>32487870</v>
      </c>
      <c r="P110" s="1">
        <f t="shared" si="7"/>
        <v>32487870</v>
      </c>
      <c r="Q110" s="1">
        <f t="shared" si="8"/>
        <v>32487870</v>
      </c>
      <c r="R110" s="1">
        <f t="shared" si="9"/>
        <v>32487870</v>
      </c>
    </row>
    <row r="111" spans="1:18" x14ac:dyDescent="0.3">
      <c r="A111" t="s">
        <v>18</v>
      </c>
      <c r="B111" t="s">
        <v>19</v>
      </c>
      <c r="C111" t="s">
        <v>99</v>
      </c>
      <c r="D111" t="s">
        <v>100</v>
      </c>
      <c r="E111" t="s">
        <v>31</v>
      </c>
      <c r="F111" t="s">
        <v>33</v>
      </c>
      <c r="G111" s="1">
        <v>311863</v>
      </c>
      <c r="H111" s="1">
        <v>311863</v>
      </c>
      <c r="I111" s="1">
        <v>311863</v>
      </c>
      <c r="J111" s="1">
        <v>311863</v>
      </c>
      <c r="K111" s="1">
        <v>311863</v>
      </c>
      <c r="L111" s="1">
        <v>311863</v>
      </c>
      <c r="M111" s="1">
        <v>311863</v>
      </c>
      <c r="N111" s="1">
        <f t="shared" si="5"/>
        <v>311863</v>
      </c>
      <c r="O111" s="1">
        <f t="shared" si="6"/>
        <v>311863</v>
      </c>
      <c r="P111" s="1">
        <f t="shared" si="7"/>
        <v>311863</v>
      </c>
      <c r="Q111" s="1">
        <f t="shared" si="8"/>
        <v>311863</v>
      </c>
      <c r="R111" s="1">
        <f t="shared" si="9"/>
        <v>311863</v>
      </c>
    </row>
    <row r="112" spans="1:18" x14ac:dyDescent="0.3">
      <c r="A112" t="s">
        <v>18</v>
      </c>
      <c r="B112" t="s">
        <v>19</v>
      </c>
      <c r="C112" t="s">
        <v>99</v>
      </c>
      <c r="D112" t="s">
        <v>100</v>
      </c>
      <c r="E112" t="s">
        <v>34</v>
      </c>
      <c r="F112" t="s">
        <v>58</v>
      </c>
      <c r="G112" s="1">
        <v>800000</v>
      </c>
      <c r="H112" s="1">
        <v>1550000</v>
      </c>
      <c r="I112" s="1">
        <v>17500000</v>
      </c>
      <c r="J112" s="1">
        <v>0</v>
      </c>
      <c r="K112" s="1">
        <v>1180000</v>
      </c>
      <c r="L112" s="1">
        <v>38900000</v>
      </c>
      <c r="M112" s="1">
        <v>660000</v>
      </c>
      <c r="N112" s="1">
        <f t="shared" si="5"/>
        <v>8655714.2857142854</v>
      </c>
      <c r="O112" s="1">
        <v>0</v>
      </c>
      <c r="P112" s="1">
        <f t="shared" si="7"/>
        <v>7693968.2539682537</v>
      </c>
      <c r="Q112" s="1">
        <v>0</v>
      </c>
      <c r="R112" s="1">
        <f t="shared" si="9"/>
        <v>6994516.594516594</v>
      </c>
    </row>
    <row r="113" spans="1:18" x14ac:dyDescent="0.3">
      <c r="A113" t="s">
        <v>18</v>
      </c>
      <c r="B113" t="s">
        <v>19</v>
      </c>
      <c r="C113" t="s">
        <v>99</v>
      </c>
      <c r="D113" t="s">
        <v>100</v>
      </c>
      <c r="E113" t="s">
        <v>34</v>
      </c>
      <c r="F113" t="s">
        <v>59</v>
      </c>
      <c r="G113" s="1">
        <v>7863636</v>
      </c>
      <c r="H113" s="1">
        <v>0</v>
      </c>
      <c r="I113" s="1">
        <v>14164000</v>
      </c>
      <c r="J113" s="1">
        <v>15550000</v>
      </c>
      <c r="K113" s="1">
        <v>0</v>
      </c>
      <c r="L113" s="1">
        <v>35000000</v>
      </c>
      <c r="M113" s="1">
        <v>0</v>
      </c>
      <c r="N113" s="1">
        <f t="shared" si="5"/>
        <v>10368233.714285715</v>
      </c>
      <c r="O113" s="1">
        <f t="shared" si="6"/>
        <v>10368233.714285715</v>
      </c>
      <c r="P113" s="1">
        <f t="shared" si="7"/>
        <v>10368233.714285715</v>
      </c>
      <c r="Q113" s="1">
        <f t="shared" si="8"/>
        <v>10368233.714285715</v>
      </c>
      <c r="R113" s="1">
        <f t="shared" si="9"/>
        <v>10368233.714285715</v>
      </c>
    </row>
    <row r="114" spans="1:18" x14ac:dyDescent="0.3">
      <c r="A114" t="s">
        <v>18</v>
      </c>
      <c r="B114" t="s">
        <v>19</v>
      </c>
      <c r="C114" t="s">
        <v>99</v>
      </c>
      <c r="D114" t="s">
        <v>100</v>
      </c>
      <c r="E114" t="s">
        <v>34</v>
      </c>
      <c r="F114" t="s">
        <v>35</v>
      </c>
      <c r="G114" s="1">
        <v>0</v>
      </c>
      <c r="H114" s="1">
        <v>4200000</v>
      </c>
      <c r="I114" s="1">
        <v>0</v>
      </c>
      <c r="J114" s="1">
        <v>0</v>
      </c>
      <c r="K114" s="1">
        <v>0</v>
      </c>
      <c r="L114" s="1">
        <v>150000</v>
      </c>
      <c r="M114" s="1">
        <v>0</v>
      </c>
      <c r="N114" s="1">
        <f t="shared" si="5"/>
        <v>621428.57142857148</v>
      </c>
      <c r="O114" s="1">
        <f t="shared" si="6"/>
        <v>621428.57142857148</v>
      </c>
      <c r="P114" s="1">
        <f t="shared" si="7"/>
        <v>621428.57142857148</v>
      </c>
      <c r="Q114" s="1">
        <f t="shared" si="8"/>
        <v>621428.57142857159</v>
      </c>
      <c r="R114" s="1">
        <f t="shared" si="9"/>
        <v>621428.57142857159</v>
      </c>
    </row>
    <row r="115" spans="1:18" x14ac:dyDescent="0.3">
      <c r="A115" t="s">
        <v>18</v>
      </c>
      <c r="B115" t="s">
        <v>19</v>
      </c>
      <c r="C115" t="s">
        <v>99</v>
      </c>
      <c r="D115" t="s">
        <v>100</v>
      </c>
      <c r="E115" t="s">
        <v>34</v>
      </c>
      <c r="F115" t="s">
        <v>36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4550000</v>
      </c>
      <c r="M115" s="1">
        <v>541000</v>
      </c>
      <c r="N115" s="1">
        <f t="shared" si="5"/>
        <v>727285.71428571432</v>
      </c>
      <c r="O115" s="1">
        <f t="shared" si="6"/>
        <v>727285.71428571432</v>
      </c>
      <c r="P115" s="1">
        <f t="shared" si="7"/>
        <v>727285.71428571432</v>
      </c>
      <c r="Q115" s="1">
        <f t="shared" si="8"/>
        <v>727285.71428571432</v>
      </c>
      <c r="R115" s="1">
        <f t="shared" si="9"/>
        <v>727285.71428571444</v>
      </c>
    </row>
    <row r="116" spans="1:18" x14ac:dyDescent="0.3">
      <c r="A116" t="s">
        <v>18</v>
      </c>
      <c r="B116" t="s">
        <v>19</v>
      </c>
      <c r="C116" t="s">
        <v>99</v>
      </c>
      <c r="D116" t="s">
        <v>100</v>
      </c>
      <c r="E116" t="s">
        <v>42</v>
      </c>
      <c r="F116" t="s">
        <v>43</v>
      </c>
      <c r="G116" s="1">
        <v>162910</v>
      </c>
      <c r="H116" s="1">
        <v>65455</v>
      </c>
      <c r="I116" s="1">
        <v>292456</v>
      </c>
      <c r="J116" s="1">
        <v>1145455</v>
      </c>
      <c r="K116" s="1">
        <v>65455</v>
      </c>
      <c r="L116" s="1">
        <v>0</v>
      </c>
      <c r="M116" s="1">
        <v>136364</v>
      </c>
      <c r="N116" s="1">
        <f t="shared" si="5"/>
        <v>266870.71428571426</v>
      </c>
      <c r="O116" s="1">
        <f t="shared" si="6"/>
        <v>266870.71428571426</v>
      </c>
      <c r="P116" s="1">
        <f t="shared" si="7"/>
        <v>266870.71428571426</v>
      </c>
      <c r="Q116" s="1">
        <f t="shared" si="8"/>
        <v>266870.7142857142</v>
      </c>
      <c r="R116" s="1">
        <f t="shared" si="9"/>
        <v>266870.7142857142</v>
      </c>
    </row>
    <row r="117" spans="1:18" x14ac:dyDescent="0.3">
      <c r="A117" t="s">
        <v>18</v>
      </c>
      <c r="B117" t="s">
        <v>19</v>
      </c>
      <c r="C117" t="s">
        <v>99</v>
      </c>
      <c r="D117" t="s">
        <v>100</v>
      </c>
      <c r="E117" t="s">
        <v>44</v>
      </c>
      <c r="F117" t="s">
        <v>60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f t="shared" si="5"/>
        <v>0</v>
      </c>
      <c r="O117" s="1">
        <f t="shared" si="6"/>
        <v>0</v>
      </c>
      <c r="P117" s="1">
        <f t="shared" si="7"/>
        <v>0</v>
      </c>
      <c r="Q117" s="1">
        <f t="shared" si="8"/>
        <v>0</v>
      </c>
      <c r="R117" s="1">
        <f t="shared" si="9"/>
        <v>0</v>
      </c>
    </row>
    <row r="118" spans="1:18" x14ac:dyDescent="0.3">
      <c r="A118" t="s">
        <v>18</v>
      </c>
      <c r="B118" t="s">
        <v>19</v>
      </c>
      <c r="C118" t="s">
        <v>99</v>
      </c>
      <c r="D118" t="s">
        <v>100</v>
      </c>
      <c r="E118" t="s">
        <v>44</v>
      </c>
      <c r="F118" t="s">
        <v>45</v>
      </c>
      <c r="G118" s="1">
        <v>0</v>
      </c>
      <c r="H118" s="1">
        <v>408030</v>
      </c>
      <c r="I118" s="1">
        <v>0</v>
      </c>
      <c r="J118" s="1">
        <v>0</v>
      </c>
      <c r="K118" s="1">
        <v>0</v>
      </c>
      <c r="L118" s="1">
        <v>1475780</v>
      </c>
      <c r="M118" s="1">
        <v>0</v>
      </c>
      <c r="N118" s="1">
        <f t="shared" si="5"/>
        <v>269115.71428571426</v>
      </c>
      <c r="O118" s="1">
        <f t="shared" si="6"/>
        <v>269115.71428571426</v>
      </c>
      <c r="P118" s="1">
        <f t="shared" si="7"/>
        <v>269115.71428571426</v>
      </c>
      <c r="Q118" s="1">
        <f t="shared" si="8"/>
        <v>269115.7142857142</v>
      </c>
      <c r="R118" s="1">
        <f t="shared" si="9"/>
        <v>269115.7142857142</v>
      </c>
    </row>
    <row r="119" spans="1:18" x14ac:dyDescent="0.3">
      <c r="A119" t="s">
        <v>18</v>
      </c>
      <c r="B119" t="s">
        <v>19</v>
      </c>
      <c r="C119" t="s">
        <v>99</v>
      </c>
      <c r="D119" t="s">
        <v>100</v>
      </c>
      <c r="E119" t="s">
        <v>46</v>
      </c>
      <c r="F119" t="s">
        <v>61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840000</v>
      </c>
      <c r="M119" s="1">
        <v>1500000</v>
      </c>
      <c r="N119" s="1">
        <f t="shared" si="5"/>
        <v>334285.71428571426</v>
      </c>
      <c r="O119" s="1">
        <f t="shared" si="6"/>
        <v>334285.71428571426</v>
      </c>
      <c r="P119" s="1">
        <f t="shared" si="7"/>
        <v>334285.71428571426</v>
      </c>
      <c r="Q119" s="1">
        <f t="shared" si="8"/>
        <v>334285.7142857142</v>
      </c>
      <c r="R119" s="1">
        <f t="shared" si="9"/>
        <v>334285.7142857142</v>
      </c>
    </row>
    <row r="120" spans="1:18" x14ac:dyDescent="0.3">
      <c r="A120" t="s">
        <v>18</v>
      </c>
      <c r="B120" t="s">
        <v>19</v>
      </c>
      <c r="C120" t="s">
        <v>99</v>
      </c>
      <c r="D120" t="s">
        <v>100</v>
      </c>
      <c r="E120" t="s">
        <v>46</v>
      </c>
      <c r="F120" t="s">
        <v>47</v>
      </c>
      <c r="G120" s="1">
        <v>15981656</v>
      </c>
      <c r="H120" s="1">
        <v>4767700</v>
      </c>
      <c r="I120" s="1">
        <v>41972390</v>
      </c>
      <c r="J120" s="1">
        <v>10874440</v>
      </c>
      <c r="K120" s="1">
        <v>13426300</v>
      </c>
      <c r="L120" s="1">
        <v>16692093</v>
      </c>
      <c r="M120" s="1">
        <v>21390470</v>
      </c>
      <c r="N120" s="1">
        <f t="shared" si="5"/>
        <v>17872149.857142858</v>
      </c>
      <c r="O120" s="1">
        <f t="shared" si="6"/>
        <v>17872149.857142858</v>
      </c>
      <c r="P120" s="1">
        <f t="shared" si="7"/>
        <v>17872149.857142858</v>
      </c>
      <c r="Q120" s="1">
        <f t="shared" si="8"/>
        <v>17872149.857142858</v>
      </c>
      <c r="R120" s="1">
        <f t="shared" si="9"/>
        <v>17872149.857142862</v>
      </c>
    </row>
    <row r="121" spans="1:18" x14ac:dyDescent="0.3">
      <c r="A121" t="s">
        <v>18</v>
      </c>
      <c r="B121" t="s">
        <v>19</v>
      </c>
      <c r="C121" t="s">
        <v>99</v>
      </c>
      <c r="D121" t="s">
        <v>100</v>
      </c>
      <c r="E121" t="s">
        <v>48</v>
      </c>
      <c r="F121" t="s">
        <v>49</v>
      </c>
      <c r="G121" s="1">
        <v>1000000</v>
      </c>
      <c r="H121" s="1">
        <v>0</v>
      </c>
      <c r="I121" s="1">
        <v>3594700</v>
      </c>
      <c r="J121" s="1">
        <v>1800000</v>
      </c>
      <c r="K121" s="1">
        <v>0</v>
      </c>
      <c r="L121" s="1">
        <v>8060300</v>
      </c>
      <c r="M121" s="1">
        <v>2049000</v>
      </c>
      <c r="N121" s="1">
        <f t="shared" si="5"/>
        <v>2357714.2857142859</v>
      </c>
      <c r="O121" s="1">
        <f t="shared" si="6"/>
        <v>2357714.2857142859</v>
      </c>
      <c r="P121" s="1">
        <f t="shared" si="7"/>
        <v>2357714.2857142859</v>
      </c>
      <c r="Q121" s="1">
        <f t="shared" si="8"/>
        <v>2357714.2857142864</v>
      </c>
      <c r="R121" s="1">
        <f t="shared" si="9"/>
        <v>2357714.2857142864</v>
      </c>
    </row>
    <row r="122" spans="1:18" x14ac:dyDescent="0.3">
      <c r="A122" t="s">
        <v>18</v>
      </c>
      <c r="B122" t="s">
        <v>19</v>
      </c>
      <c r="C122" t="s">
        <v>99</v>
      </c>
      <c r="D122" t="s">
        <v>100</v>
      </c>
      <c r="E122" t="s">
        <v>97</v>
      </c>
      <c r="F122" t="s">
        <v>98</v>
      </c>
      <c r="G122" s="1">
        <v>0</v>
      </c>
      <c r="H122" s="1">
        <v>195455</v>
      </c>
      <c r="I122" s="1">
        <v>0</v>
      </c>
      <c r="J122" s="1">
        <v>0</v>
      </c>
      <c r="K122" s="1">
        <v>96364</v>
      </c>
      <c r="L122" s="1">
        <v>100000</v>
      </c>
      <c r="M122" s="1">
        <v>0</v>
      </c>
      <c r="N122" s="1">
        <f t="shared" si="5"/>
        <v>55974.142857142855</v>
      </c>
      <c r="O122" s="1">
        <f t="shared" si="6"/>
        <v>55974.142857142855</v>
      </c>
      <c r="P122" s="1">
        <f t="shared" si="7"/>
        <v>55974.142857142855</v>
      </c>
      <c r="Q122" s="1">
        <f t="shared" si="8"/>
        <v>55974.142857142855</v>
      </c>
      <c r="R122" s="1">
        <f t="shared" si="9"/>
        <v>55974.142857142848</v>
      </c>
    </row>
    <row r="123" spans="1:18" x14ac:dyDescent="0.3">
      <c r="A123" t="s">
        <v>18</v>
      </c>
      <c r="B123" t="s">
        <v>19</v>
      </c>
      <c r="C123" t="s">
        <v>108</v>
      </c>
      <c r="D123" t="s">
        <v>109</v>
      </c>
      <c r="E123" t="s">
        <v>22</v>
      </c>
      <c r="F123" t="s">
        <v>24</v>
      </c>
      <c r="G123" s="1">
        <v>248276</v>
      </c>
      <c r="H123" s="1">
        <v>112728</v>
      </c>
      <c r="I123" s="1">
        <v>123001</v>
      </c>
      <c r="J123" s="1">
        <v>95458</v>
      </c>
      <c r="K123" s="1">
        <v>177281</v>
      </c>
      <c r="L123" s="1">
        <v>332732</v>
      </c>
      <c r="M123" s="1">
        <v>234547</v>
      </c>
      <c r="N123" s="1">
        <f t="shared" si="5"/>
        <v>189146.14285714287</v>
      </c>
      <c r="O123" s="1">
        <f t="shared" si="6"/>
        <v>189146.14285714287</v>
      </c>
      <c r="P123" s="1">
        <f t="shared" si="7"/>
        <v>189146.14285714287</v>
      </c>
      <c r="Q123" s="1">
        <f t="shared" si="8"/>
        <v>189146.1428571429</v>
      </c>
      <c r="R123" s="1">
        <f t="shared" si="9"/>
        <v>189146.1428571429</v>
      </c>
    </row>
    <row r="124" spans="1:18" x14ac:dyDescent="0.3">
      <c r="A124" t="s">
        <v>18</v>
      </c>
      <c r="B124" t="s">
        <v>19</v>
      </c>
      <c r="C124" t="s">
        <v>108</v>
      </c>
      <c r="D124" t="s">
        <v>109</v>
      </c>
      <c r="E124" t="s">
        <v>22</v>
      </c>
      <c r="F124" t="s">
        <v>25</v>
      </c>
      <c r="G124" s="1">
        <v>11430</v>
      </c>
      <c r="H124" s="1">
        <v>11430</v>
      </c>
      <c r="I124" s="1">
        <v>11430</v>
      </c>
      <c r="J124" s="1">
        <v>11430</v>
      </c>
      <c r="K124" s="1">
        <v>11430</v>
      </c>
      <c r="L124" s="1">
        <v>11430</v>
      </c>
      <c r="M124" s="1">
        <v>11430</v>
      </c>
      <c r="N124" s="1">
        <f t="shared" si="5"/>
        <v>11430</v>
      </c>
      <c r="O124" s="1">
        <f t="shared" si="6"/>
        <v>11430</v>
      </c>
      <c r="P124" s="1">
        <f t="shared" si="7"/>
        <v>11430</v>
      </c>
      <c r="Q124" s="1">
        <f t="shared" si="8"/>
        <v>11430</v>
      </c>
      <c r="R124" s="1">
        <f t="shared" si="9"/>
        <v>11430</v>
      </c>
    </row>
    <row r="125" spans="1:18" x14ac:dyDescent="0.3">
      <c r="A125" t="s">
        <v>18</v>
      </c>
      <c r="B125" t="s">
        <v>19</v>
      </c>
      <c r="C125" t="s">
        <v>108</v>
      </c>
      <c r="D125" t="s">
        <v>109</v>
      </c>
      <c r="E125" t="s">
        <v>22</v>
      </c>
      <c r="F125" t="s">
        <v>26</v>
      </c>
      <c r="G125" s="1">
        <v>100000</v>
      </c>
      <c r="H125" s="1">
        <v>200000</v>
      </c>
      <c r="I125" s="1">
        <v>450000</v>
      </c>
      <c r="J125" s="1">
        <v>400000</v>
      </c>
      <c r="K125" s="1">
        <v>100000</v>
      </c>
      <c r="L125" s="1">
        <v>150000</v>
      </c>
      <c r="M125" s="1">
        <v>0</v>
      </c>
      <c r="N125" s="1">
        <f t="shared" si="5"/>
        <v>200000</v>
      </c>
      <c r="O125" s="1">
        <f t="shared" si="6"/>
        <v>200000</v>
      </c>
      <c r="P125" s="1">
        <f t="shared" si="7"/>
        <v>200000</v>
      </c>
      <c r="Q125" s="1">
        <f t="shared" si="8"/>
        <v>200000</v>
      </c>
      <c r="R125" s="1">
        <f t="shared" si="9"/>
        <v>200000</v>
      </c>
    </row>
    <row r="126" spans="1:18" x14ac:dyDescent="0.3">
      <c r="A126" t="s">
        <v>18</v>
      </c>
      <c r="B126" t="s">
        <v>19</v>
      </c>
      <c r="C126" t="s">
        <v>108</v>
      </c>
      <c r="D126" t="s">
        <v>109</v>
      </c>
      <c r="E126" t="s">
        <v>22</v>
      </c>
      <c r="F126" t="s">
        <v>27</v>
      </c>
      <c r="G126" s="1">
        <v>973390</v>
      </c>
      <c r="H126" s="1">
        <v>898410</v>
      </c>
      <c r="I126" s="1">
        <v>898410</v>
      </c>
      <c r="J126" s="1">
        <v>1327930</v>
      </c>
      <c r="K126" s="1">
        <v>927130</v>
      </c>
      <c r="L126" s="1">
        <v>927130</v>
      </c>
      <c r="M126" s="1">
        <v>937580</v>
      </c>
      <c r="N126" s="1">
        <f t="shared" si="5"/>
        <v>984282.85714285716</v>
      </c>
      <c r="O126" s="1">
        <f t="shared" si="6"/>
        <v>984282.85714285716</v>
      </c>
      <c r="P126" s="1">
        <f t="shared" si="7"/>
        <v>984282.85714285716</v>
      </c>
      <c r="Q126" s="1">
        <f t="shared" si="8"/>
        <v>984282.85714285704</v>
      </c>
      <c r="R126" s="1">
        <f t="shared" si="9"/>
        <v>984282.85714285704</v>
      </c>
    </row>
    <row r="127" spans="1:18" x14ac:dyDescent="0.3">
      <c r="A127" t="s">
        <v>18</v>
      </c>
      <c r="B127" t="s">
        <v>19</v>
      </c>
      <c r="C127" t="s">
        <v>108</v>
      </c>
      <c r="D127" t="s">
        <v>109</v>
      </c>
      <c r="E127" t="s">
        <v>28</v>
      </c>
      <c r="F127" t="s">
        <v>101</v>
      </c>
      <c r="G127" s="1">
        <v>0</v>
      </c>
      <c r="H127" s="1">
        <v>0</v>
      </c>
      <c r="I127" s="1">
        <v>4492105</v>
      </c>
      <c r="J127" s="1">
        <v>23500</v>
      </c>
      <c r="K127" s="1">
        <v>85341</v>
      </c>
      <c r="L127" s="1">
        <v>0</v>
      </c>
      <c r="M127" s="1">
        <v>0</v>
      </c>
      <c r="N127" s="1">
        <f t="shared" si="5"/>
        <v>657278</v>
      </c>
      <c r="O127" s="1">
        <f t="shared" si="6"/>
        <v>657278</v>
      </c>
      <c r="P127" s="1">
        <f t="shared" si="7"/>
        <v>657278</v>
      </c>
      <c r="Q127" s="1">
        <f t="shared" si="8"/>
        <v>657278</v>
      </c>
      <c r="R127" s="1">
        <f t="shared" si="9"/>
        <v>657278</v>
      </c>
    </row>
    <row r="128" spans="1:18" x14ac:dyDescent="0.3">
      <c r="A128" t="s">
        <v>18</v>
      </c>
      <c r="B128" t="s">
        <v>19</v>
      </c>
      <c r="C128" t="s">
        <v>108</v>
      </c>
      <c r="D128" t="s">
        <v>109</v>
      </c>
      <c r="E128" t="s">
        <v>28</v>
      </c>
      <c r="F128" t="s">
        <v>29</v>
      </c>
      <c r="G128" s="1">
        <v>244992</v>
      </c>
      <c r="H128" s="1">
        <v>71933</v>
      </c>
      <c r="I128" s="1">
        <v>121266</v>
      </c>
      <c r="J128" s="1">
        <v>74564</v>
      </c>
      <c r="K128" s="1">
        <v>64676</v>
      </c>
      <c r="L128" s="1">
        <v>41787</v>
      </c>
      <c r="M128" s="1">
        <v>31694</v>
      </c>
      <c r="N128" s="1">
        <f t="shared" si="5"/>
        <v>92987.428571428565</v>
      </c>
      <c r="O128" s="1">
        <f t="shared" si="6"/>
        <v>92987.428571428565</v>
      </c>
      <c r="P128" s="1">
        <f t="shared" si="7"/>
        <v>92987.428571428565</v>
      </c>
      <c r="Q128" s="1">
        <f t="shared" si="8"/>
        <v>92987.428571428551</v>
      </c>
      <c r="R128" s="1">
        <f t="shared" si="9"/>
        <v>92987.428571428551</v>
      </c>
    </row>
    <row r="129" spans="1:18" x14ac:dyDescent="0.3">
      <c r="A129" t="s">
        <v>18</v>
      </c>
      <c r="B129" t="s">
        <v>19</v>
      </c>
      <c r="C129" t="s">
        <v>108</v>
      </c>
      <c r="D129" t="s">
        <v>109</v>
      </c>
      <c r="E129" t="s">
        <v>28</v>
      </c>
      <c r="F129" t="s">
        <v>30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15795</v>
      </c>
      <c r="N129" s="1">
        <f t="shared" si="5"/>
        <v>2256.4285714285716</v>
      </c>
      <c r="O129" s="1">
        <f t="shared" si="6"/>
        <v>2256.4285714285716</v>
      </c>
      <c r="P129" s="1">
        <f t="shared" si="7"/>
        <v>2256.4285714285716</v>
      </c>
      <c r="Q129" s="1">
        <f t="shared" si="8"/>
        <v>2256.4285714285716</v>
      </c>
      <c r="R129" s="1">
        <f t="shared" si="9"/>
        <v>2256.428571428572</v>
      </c>
    </row>
    <row r="130" spans="1:18" x14ac:dyDescent="0.3">
      <c r="A130" t="s">
        <v>18</v>
      </c>
      <c r="B130" t="s">
        <v>19</v>
      </c>
      <c r="C130" t="s">
        <v>108</v>
      </c>
      <c r="D130" t="s">
        <v>109</v>
      </c>
      <c r="E130" t="s">
        <v>28</v>
      </c>
      <c r="F130" t="s">
        <v>102</v>
      </c>
      <c r="G130" s="1">
        <v>0</v>
      </c>
      <c r="H130" s="1">
        <v>0</v>
      </c>
      <c r="I130" s="1">
        <v>0</v>
      </c>
      <c r="J130" s="1">
        <v>0</v>
      </c>
      <c r="K130" s="1">
        <v>240000</v>
      </c>
      <c r="L130" s="1">
        <v>0</v>
      </c>
      <c r="M130" s="1">
        <v>0</v>
      </c>
      <c r="N130" s="1">
        <f t="shared" si="5"/>
        <v>34285.714285714283</v>
      </c>
      <c r="O130" s="1">
        <f t="shared" si="6"/>
        <v>34285.714285714283</v>
      </c>
      <c r="P130" s="1">
        <f t="shared" si="7"/>
        <v>34285.714285714283</v>
      </c>
      <c r="Q130" s="1">
        <f t="shared" si="8"/>
        <v>34285.714285714275</v>
      </c>
      <c r="R130" s="1">
        <f t="shared" si="9"/>
        <v>34285.714285714275</v>
      </c>
    </row>
    <row r="131" spans="1:18" x14ac:dyDescent="0.3">
      <c r="A131" t="s">
        <v>18</v>
      </c>
      <c r="B131" t="s">
        <v>19</v>
      </c>
      <c r="C131" t="s">
        <v>108</v>
      </c>
      <c r="D131" t="s">
        <v>109</v>
      </c>
      <c r="E131" t="s">
        <v>110</v>
      </c>
      <c r="F131" t="s">
        <v>111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200000</v>
      </c>
      <c r="N131" s="1">
        <f t="shared" si="5"/>
        <v>28571.428571428572</v>
      </c>
      <c r="O131" s="1">
        <f t="shared" si="6"/>
        <v>28571.428571428572</v>
      </c>
      <c r="P131" s="1">
        <f t="shared" si="7"/>
        <v>28571.428571428572</v>
      </c>
      <c r="Q131" s="1">
        <f t="shared" si="8"/>
        <v>28571.428571428572</v>
      </c>
      <c r="R131" s="1">
        <f t="shared" si="9"/>
        <v>28571.428571428576</v>
      </c>
    </row>
    <row r="132" spans="1:18" x14ac:dyDescent="0.3">
      <c r="A132" t="s">
        <v>18</v>
      </c>
      <c r="B132" t="s">
        <v>19</v>
      </c>
      <c r="C132" t="s">
        <v>108</v>
      </c>
      <c r="D132" t="s">
        <v>109</v>
      </c>
      <c r="E132" t="s">
        <v>50</v>
      </c>
      <c r="F132" t="s">
        <v>51</v>
      </c>
      <c r="G132" s="1">
        <v>20000</v>
      </c>
      <c r="H132" s="1">
        <v>165000</v>
      </c>
      <c r="I132" s="1">
        <v>114000</v>
      </c>
      <c r="J132" s="1">
        <v>115000</v>
      </c>
      <c r="K132" s="1">
        <v>0</v>
      </c>
      <c r="L132" s="1">
        <v>120500</v>
      </c>
      <c r="M132" s="1">
        <v>0</v>
      </c>
      <c r="N132" s="1">
        <f t="shared" ref="N132:N171" si="10">SUM(G132:M132)/7</f>
        <v>76357.142857142855</v>
      </c>
      <c r="O132" s="1">
        <f t="shared" ref="O132:O171" si="11">SUM(G132:N132)/8</f>
        <v>76357.142857142855</v>
      </c>
      <c r="P132" s="1">
        <f t="shared" ref="P132:P171" si="12">SUM(G132:O132)/9</f>
        <v>76357.142857142855</v>
      </c>
      <c r="Q132" s="1">
        <f t="shared" ref="Q132:Q171" si="13">SUM(G132:P132)/10</f>
        <v>76357.142857142855</v>
      </c>
      <c r="R132" s="1">
        <f t="shared" ref="R132:R171" si="14">SUM(G132:Q132)/11</f>
        <v>76357.142857142855</v>
      </c>
    </row>
    <row r="133" spans="1:18" x14ac:dyDescent="0.3">
      <c r="A133" t="s">
        <v>18</v>
      </c>
      <c r="B133" t="s">
        <v>19</v>
      </c>
      <c r="C133" t="s">
        <v>108</v>
      </c>
      <c r="D133" t="s">
        <v>109</v>
      </c>
      <c r="E133" t="s">
        <v>97</v>
      </c>
      <c r="F133" t="s">
        <v>98</v>
      </c>
      <c r="G133" s="1">
        <v>498365</v>
      </c>
      <c r="H133" s="1">
        <v>430914</v>
      </c>
      <c r="I133" s="1">
        <v>813822</v>
      </c>
      <c r="J133" s="1">
        <v>893479</v>
      </c>
      <c r="K133" s="1">
        <v>414550</v>
      </c>
      <c r="L133" s="1">
        <v>573646</v>
      </c>
      <c r="M133" s="1">
        <v>242728</v>
      </c>
      <c r="N133" s="1">
        <f t="shared" si="10"/>
        <v>552500.57142857148</v>
      </c>
      <c r="O133" s="1">
        <f t="shared" si="11"/>
        <v>552500.57142857148</v>
      </c>
      <c r="P133" s="1">
        <f t="shared" si="12"/>
        <v>552500.57142857148</v>
      </c>
      <c r="Q133" s="1">
        <f t="shared" si="13"/>
        <v>552500.57142857159</v>
      </c>
      <c r="R133" s="1">
        <f t="shared" si="14"/>
        <v>552500.57142857159</v>
      </c>
    </row>
    <row r="134" spans="1:18" x14ac:dyDescent="0.3">
      <c r="A134" t="s">
        <v>18</v>
      </c>
      <c r="B134" t="s">
        <v>19</v>
      </c>
      <c r="C134" t="s">
        <v>112</v>
      </c>
      <c r="D134" t="s">
        <v>113</v>
      </c>
      <c r="E134" t="s">
        <v>22</v>
      </c>
      <c r="F134" t="s">
        <v>23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f t="shared" si="10"/>
        <v>0</v>
      </c>
      <c r="O134" s="1">
        <f t="shared" si="11"/>
        <v>0</v>
      </c>
      <c r="P134" s="1">
        <f t="shared" si="12"/>
        <v>0</v>
      </c>
      <c r="Q134" s="1">
        <f t="shared" si="13"/>
        <v>0</v>
      </c>
      <c r="R134" s="1">
        <f t="shared" si="14"/>
        <v>0</v>
      </c>
    </row>
    <row r="135" spans="1:18" x14ac:dyDescent="0.3">
      <c r="A135" t="s">
        <v>18</v>
      </c>
      <c r="B135" t="s">
        <v>19</v>
      </c>
      <c r="C135" t="s">
        <v>112</v>
      </c>
      <c r="D135" t="s">
        <v>113</v>
      </c>
      <c r="E135" t="s">
        <v>22</v>
      </c>
      <c r="F135" t="s">
        <v>24</v>
      </c>
      <c r="G135" s="1">
        <v>0</v>
      </c>
      <c r="H135" s="1">
        <v>1222913</v>
      </c>
      <c r="I135" s="1">
        <v>3173398</v>
      </c>
      <c r="J135" s="1">
        <v>39819</v>
      </c>
      <c r="K135" s="1">
        <v>391368</v>
      </c>
      <c r="L135" s="1">
        <v>912080</v>
      </c>
      <c r="M135" s="1">
        <v>218091</v>
      </c>
      <c r="N135" s="1">
        <f t="shared" si="10"/>
        <v>851095.57142857148</v>
      </c>
      <c r="O135" s="1">
        <f t="shared" si="11"/>
        <v>851095.57142857148</v>
      </c>
      <c r="P135" s="1">
        <f t="shared" si="12"/>
        <v>851095.57142857148</v>
      </c>
      <c r="Q135" s="1">
        <f t="shared" si="13"/>
        <v>851095.57142857148</v>
      </c>
      <c r="R135" s="1">
        <f t="shared" si="14"/>
        <v>851095.57142857136</v>
      </c>
    </row>
    <row r="136" spans="1:18" x14ac:dyDescent="0.3">
      <c r="A136" t="s">
        <v>18</v>
      </c>
      <c r="B136" t="s">
        <v>19</v>
      </c>
      <c r="C136" t="s">
        <v>112</v>
      </c>
      <c r="D136" t="s">
        <v>113</v>
      </c>
      <c r="E136" t="s">
        <v>22</v>
      </c>
      <c r="F136" t="s">
        <v>25</v>
      </c>
      <c r="G136" s="1">
        <v>105680</v>
      </c>
      <c r="H136" s="1">
        <v>105370</v>
      </c>
      <c r="I136" s="1">
        <v>105370</v>
      </c>
      <c r="J136" s="1">
        <v>105370</v>
      </c>
      <c r="K136" s="1">
        <v>105370</v>
      </c>
      <c r="L136" s="1">
        <v>105370</v>
      </c>
      <c r="M136" s="1">
        <v>107060</v>
      </c>
      <c r="N136" s="1">
        <f t="shared" si="10"/>
        <v>105655.71428571429</v>
      </c>
      <c r="O136" s="1">
        <f t="shared" si="11"/>
        <v>105655.71428571429</v>
      </c>
      <c r="P136" s="1">
        <f t="shared" si="12"/>
        <v>105655.71428571429</v>
      </c>
      <c r="Q136" s="1">
        <f t="shared" si="13"/>
        <v>105655.71428571429</v>
      </c>
      <c r="R136" s="1">
        <f t="shared" si="14"/>
        <v>105655.7142857143</v>
      </c>
    </row>
    <row r="137" spans="1:18" x14ac:dyDescent="0.3">
      <c r="A137" t="s">
        <v>18</v>
      </c>
      <c r="B137" t="s">
        <v>19</v>
      </c>
      <c r="C137" t="s">
        <v>112</v>
      </c>
      <c r="D137" t="s">
        <v>113</v>
      </c>
      <c r="E137" t="s">
        <v>22</v>
      </c>
      <c r="F137" t="s">
        <v>26</v>
      </c>
      <c r="G137" s="1">
        <v>0</v>
      </c>
      <c r="H137" s="1">
        <v>100000</v>
      </c>
      <c r="I137" s="1">
        <v>100000</v>
      </c>
      <c r="J137" s="1">
        <v>0</v>
      </c>
      <c r="K137" s="1">
        <v>50000</v>
      </c>
      <c r="L137" s="1">
        <v>0</v>
      </c>
      <c r="M137" s="1">
        <v>0</v>
      </c>
      <c r="N137" s="1">
        <f t="shared" si="10"/>
        <v>35714.285714285717</v>
      </c>
      <c r="O137" s="1">
        <f t="shared" si="11"/>
        <v>35714.285714285717</v>
      </c>
      <c r="P137" s="1">
        <f t="shared" si="12"/>
        <v>35714.285714285717</v>
      </c>
      <c r="Q137" s="1">
        <f t="shared" si="13"/>
        <v>35714.285714285725</v>
      </c>
      <c r="R137" s="1">
        <f t="shared" si="14"/>
        <v>35714.285714285725</v>
      </c>
    </row>
    <row r="138" spans="1:18" x14ac:dyDescent="0.3">
      <c r="A138" t="s">
        <v>18</v>
      </c>
      <c r="B138" t="s">
        <v>19</v>
      </c>
      <c r="C138" t="s">
        <v>112</v>
      </c>
      <c r="D138" t="s">
        <v>113</v>
      </c>
      <c r="E138" t="s">
        <v>22</v>
      </c>
      <c r="F138" t="s">
        <v>27</v>
      </c>
      <c r="G138" s="1">
        <v>8765900</v>
      </c>
      <c r="H138" s="1">
        <v>8105970</v>
      </c>
      <c r="I138" s="1">
        <v>8377230</v>
      </c>
      <c r="J138" s="1">
        <v>9473100</v>
      </c>
      <c r="K138" s="1">
        <v>8507260</v>
      </c>
      <c r="L138" s="1">
        <v>8507260</v>
      </c>
      <c r="M138" s="1">
        <v>8682560</v>
      </c>
      <c r="N138" s="1">
        <f t="shared" si="10"/>
        <v>8631325.7142857146</v>
      </c>
      <c r="O138" s="1">
        <f t="shared" si="11"/>
        <v>8631325.7142857146</v>
      </c>
      <c r="P138" s="1">
        <f t="shared" si="12"/>
        <v>8631325.7142857146</v>
      </c>
      <c r="Q138" s="1">
        <f t="shared" si="13"/>
        <v>8631325.7142857146</v>
      </c>
      <c r="R138" s="1">
        <f t="shared" si="14"/>
        <v>8631325.7142857146</v>
      </c>
    </row>
    <row r="139" spans="1:18" x14ac:dyDescent="0.3">
      <c r="A139" t="s">
        <v>18</v>
      </c>
      <c r="B139" t="s">
        <v>19</v>
      </c>
      <c r="C139" t="s">
        <v>112</v>
      </c>
      <c r="D139" t="s">
        <v>113</v>
      </c>
      <c r="E139" t="s">
        <v>28</v>
      </c>
      <c r="F139" t="s">
        <v>101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1787015</v>
      </c>
      <c r="N139" s="1">
        <f t="shared" si="10"/>
        <v>255287.85714285713</v>
      </c>
      <c r="O139" s="1">
        <f t="shared" si="11"/>
        <v>255287.85714285713</v>
      </c>
      <c r="P139" s="1">
        <f t="shared" si="12"/>
        <v>255287.85714285713</v>
      </c>
      <c r="Q139" s="1">
        <f t="shared" si="13"/>
        <v>255287.85714285713</v>
      </c>
      <c r="R139" s="1">
        <f t="shared" si="14"/>
        <v>255287.85714285716</v>
      </c>
    </row>
    <row r="140" spans="1:18" x14ac:dyDescent="0.3">
      <c r="A140" t="s">
        <v>18</v>
      </c>
      <c r="B140" t="s">
        <v>19</v>
      </c>
      <c r="C140" t="s">
        <v>112</v>
      </c>
      <c r="D140" t="s">
        <v>113</v>
      </c>
      <c r="E140" t="s">
        <v>28</v>
      </c>
      <c r="F140" t="s">
        <v>29</v>
      </c>
      <c r="G140" s="1">
        <v>23200</v>
      </c>
      <c r="H140" s="1">
        <v>0</v>
      </c>
      <c r="I140" s="1">
        <v>43000</v>
      </c>
      <c r="J140" s="1">
        <v>470866</v>
      </c>
      <c r="K140" s="1">
        <v>44100</v>
      </c>
      <c r="L140" s="1">
        <v>219156</v>
      </c>
      <c r="M140" s="1">
        <v>96898</v>
      </c>
      <c r="N140" s="1">
        <f t="shared" si="10"/>
        <v>128174.28571428571</v>
      </c>
      <c r="O140" s="1">
        <f t="shared" si="11"/>
        <v>128174.28571428571</v>
      </c>
      <c r="P140" s="1">
        <f t="shared" si="12"/>
        <v>128174.28571428571</v>
      </c>
      <c r="Q140" s="1">
        <f t="shared" si="13"/>
        <v>128174.28571428571</v>
      </c>
      <c r="R140" s="1">
        <f t="shared" si="14"/>
        <v>128174.2857142857</v>
      </c>
    </row>
    <row r="141" spans="1:18" x14ac:dyDescent="0.3">
      <c r="A141" t="s">
        <v>18</v>
      </c>
      <c r="B141" t="s">
        <v>19</v>
      </c>
      <c r="C141" t="s">
        <v>112</v>
      </c>
      <c r="D141" t="s">
        <v>113</v>
      </c>
      <c r="E141" t="s">
        <v>28</v>
      </c>
      <c r="F141" t="s">
        <v>30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37197</v>
      </c>
      <c r="N141" s="1">
        <f t="shared" si="10"/>
        <v>5313.8571428571431</v>
      </c>
      <c r="O141" s="1">
        <f t="shared" si="11"/>
        <v>5313.8571428571431</v>
      </c>
      <c r="P141" s="1">
        <f t="shared" si="12"/>
        <v>5313.8571428571431</v>
      </c>
      <c r="Q141" s="1">
        <f t="shared" si="13"/>
        <v>5313.8571428571431</v>
      </c>
      <c r="R141" s="1">
        <f t="shared" si="14"/>
        <v>5313.857142857144</v>
      </c>
    </row>
    <row r="142" spans="1:18" x14ac:dyDescent="0.3">
      <c r="A142" t="s">
        <v>18</v>
      </c>
      <c r="B142" t="s">
        <v>19</v>
      </c>
      <c r="C142" t="s">
        <v>112</v>
      </c>
      <c r="D142" t="s">
        <v>113</v>
      </c>
      <c r="E142" t="s">
        <v>28</v>
      </c>
      <c r="F142" t="s">
        <v>102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150000</v>
      </c>
      <c r="N142" s="1">
        <f t="shared" si="10"/>
        <v>21428.571428571428</v>
      </c>
      <c r="O142" s="1">
        <f t="shared" si="11"/>
        <v>21428.571428571428</v>
      </c>
      <c r="P142" s="1">
        <f t="shared" si="12"/>
        <v>21428.571428571428</v>
      </c>
      <c r="Q142" s="1">
        <f t="shared" si="13"/>
        <v>21428.571428571428</v>
      </c>
      <c r="R142" s="1">
        <f t="shared" si="14"/>
        <v>21428.571428571424</v>
      </c>
    </row>
    <row r="143" spans="1:18" x14ac:dyDescent="0.3">
      <c r="A143" t="s">
        <v>18</v>
      </c>
      <c r="B143" t="s">
        <v>19</v>
      </c>
      <c r="C143" t="s">
        <v>112</v>
      </c>
      <c r="D143" t="s">
        <v>113</v>
      </c>
      <c r="E143" t="s">
        <v>72</v>
      </c>
      <c r="F143" t="s">
        <v>114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194126</v>
      </c>
      <c r="N143" s="1">
        <f t="shared" si="10"/>
        <v>27732.285714285714</v>
      </c>
      <c r="O143" s="1">
        <f t="shared" si="11"/>
        <v>27732.285714285714</v>
      </c>
      <c r="P143" s="1">
        <f t="shared" si="12"/>
        <v>27732.285714285714</v>
      </c>
      <c r="Q143" s="1">
        <f t="shared" si="13"/>
        <v>27732.285714285717</v>
      </c>
      <c r="R143" s="1">
        <f t="shared" si="14"/>
        <v>27732.285714285717</v>
      </c>
    </row>
    <row r="144" spans="1:18" x14ac:dyDescent="0.3">
      <c r="A144" t="s">
        <v>18</v>
      </c>
      <c r="B144" t="s">
        <v>19</v>
      </c>
      <c r="C144" t="s">
        <v>112</v>
      </c>
      <c r="D144" t="s">
        <v>113</v>
      </c>
      <c r="E144" t="s">
        <v>31</v>
      </c>
      <c r="F144" t="s">
        <v>56</v>
      </c>
      <c r="G144" s="1">
        <v>26659</v>
      </c>
      <c r="H144" s="1">
        <v>26659</v>
      </c>
      <c r="I144" s="1">
        <v>26659</v>
      </c>
      <c r="J144" s="1">
        <v>26659</v>
      </c>
      <c r="K144" s="1">
        <v>26659</v>
      </c>
      <c r="L144" s="1">
        <v>26659</v>
      </c>
      <c r="M144" s="1">
        <v>26659</v>
      </c>
      <c r="N144" s="1">
        <f t="shared" si="10"/>
        <v>26659</v>
      </c>
      <c r="O144" s="1">
        <f t="shared" si="11"/>
        <v>26659</v>
      </c>
      <c r="P144" s="1">
        <f t="shared" si="12"/>
        <v>26659</v>
      </c>
      <c r="Q144" s="1">
        <f t="shared" si="13"/>
        <v>26659</v>
      </c>
      <c r="R144" s="1">
        <f t="shared" si="14"/>
        <v>26659</v>
      </c>
    </row>
    <row r="145" spans="1:18" x14ac:dyDescent="0.3">
      <c r="A145" t="s">
        <v>18</v>
      </c>
      <c r="B145" t="s">
        <v>19</v>
      </c>
      <c r="C145" t="s">
        <v>112</v>
      </c>
      <c r="D145" t="s">
        <v>113</v>
      </c>
      <c r="E145" t="s">
        <v>31</v>
      </c>
      <c r="F145" t="s">
        <v>57</v>
      </c>
      <c r="G145" s="1">
        <v>358118</v>
      </c>
      <c r="H145" s="1">
        <v>358118</v>
      </c>
      <c r="I145" s="1">
        <v>358118</v>
      </c>
      <c r="J145" s="1">
        <v>358118</v>
      </c>
      <c r="K145" s="1">
        <v>358118</v>
      </c>
      <c r="L145" s="1">
        <v>358118</v>
      </c>
      <c r="M145" s="1">
        <v>358118</v>
      </c>
      <c r="N145" s="1">
        <f t="shared" si="10"/>
        <v>358118</v>
      </c>
      <c r="O145" s="1">
        <f t="shared" si="11"/>
        <v>358118</v>
      </c>
      <c r="P145" s="1">
        <f t="shared" si="12"/>
        <v>358118</v>
      </c>
      <c r="Q145" s="1">
        <f t="shared" si="13"/>
        <v>358118</v>
      </c>
      <c r="R145" s="1">
        <f t="shared" si="14"/>
        <v>358118</v>
      </c>
    </row>
    <row r="146" spans="1:18" x14ac:dyDescent="0.3">
      <c r="A146" t="s">
        <v>18</v>
      </c>
      <c r="B146" t="s">
        <v>19</v>
      </c>
      <c r="C146" t="s">
        <v>112</v>
      </c>
      <c r="D146" t="s">
        <v>113</v>
      </c>
      <c r="E146" t="s">
        <v>37</v>
      </c>
      <c r="F146" t="s">
        <v>115</v>
      </c>
      <c r="G146" s="1">
        <v>0</v>
      </c>
      <c r="H146" s="1">
        <v>0</v>
      </c>
      <c r="I146" s="1">
        <v>15939507</v>
      </c>
      <c r="J146" s="1">
        <v>75273196</v>
      </c>
      <c r="K146" s="1">
        <v>0</v>
      </c>
      <c r="L146" s="1">
        <v>54871416</v>
      </c>
      <c r="M146" s="1">
        <v>0</v>
      </c>
      <c r="N146" s="1">
        <f t="shared" si="10"/>
        <v>20869159.857142858</v>
      </c>
      <c r="O146" s="1">
        <v>0</v>
      </c>
      <c r="P146" s="1">
        <f t="shared" si="12"/>
        <v>18550364.317460317</v>
      </c>
      <c r="Q146" s="1">
        <v>0</v>
      </c>
      <c r="R146" s="1">
        <f t="shared" si="14"/>
        <v>16863967.561327562</v>
      </c>
    </row>
    <row r="147" spans="1:18" x14ac:dyDescent="0.3">
      <c r="A147" t="s">
        <v>18</v>
      </c>
      <c r="B147" t="s">
        <v>19</v>
      </c>
      <c r="C147" t="s">
        <v>112</v>
      </c>
      <c r="D147" t="s">
        <v>113</v>
      </c>
      <c r="E147" t="s">
        <v>37</v>
      </c>
      <c r="F147" t="s">
        <v>40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f t="shared" si="10"/>
        <v>0</v>
      </c>
      <c r="O147" s="1">
        <f t="shared" si="11"/>
        <v>0</v>
      </c>
      <c r="P147" s="1">
        <f t="shared" si="12"/>
        <v>0</v>
      </c>
      <c r="Q147" s="1">
        <f t="shared" si="13"/>
        <v>0</v>
      </c>
      <c r="R147" s="1">
        <f t="shared" si="14"/>
        <v>0</v>
      </c>
    </row>
    <row r="148" spans="1:18" x14ac:dyDescent="0.3">
      <c r="A148" t="s">
        <v>18</v>
      </c>
      <c r="B148" t="s">
        <v>19</v>
      </c>
      <c r="C148" t="s">
        <v>112</v>
      </c>
      <c r="D148" t="s">
        <v>113</v>
      </c>
      <c r="E148" t="s">
        <v>116</v>
      </c>
      <c r="F148" t="s">
        <v>117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f t="shared" si="10"/>
        <v>0</v>
      </c>
      <c r="O148" s="1">
        <f t="shared" si="11"/>
        <v>0</v>
      </c>
      <c r="P148" s="1">
        <f t="shared" si="12"/>
        <v>0</v>
      </c>
      <c r="Q148" s="1">
        <f t="shared" si="13"/>
        <v>0</v>
      </c>
      <c r="R148" s="1">
        <f t="shared" si="14"/>
        <v>0</v>
      </c>
    </row>
    <row r="149" spans="1:18" x14ac:dyDescent="0.3">
      <c r="A149" t="s">
        <v>18</v>
      </c>
      <c r="B149" t="s">
        <v>19</v>
      </c>
      <c r="C149" t="s">
        <v>112</v>
      </c>
      <c r="D149" t="s">
        <v>113</v>
      </c>
      <c r="E149" t="s">
        <v>42</v>
      </c>
      <c r="F149" t="s">
        <v>43</v>
      </c>
      <c r="G149" s="1">
        <v>0</v>
      </c>
      <c r="H149" s="1">
        <v>0</v>
      </c>
      <c r="I149" s="1">
        <v>300000</v>
      </c>
      <c r="J149" s="1">
        <v>300000</v>
      </c>
      <c r="K149" s="1">
        <v>0</v>
      </c>
      <c r="L149" s="1">
        <v>507273</v>
      </c>
      <c r="M149" s="1">
        <v>718182</v>
      </c>
      <c r="N149" s="1">
        <f t="shared" si="10"/>
        <v>260779.28571428571</v>
      </c>
      <c r="O149" s="1">
        <f t="shared" si="11"/>
        <v>260779.28571428571</v>
      </c>
      <c r="P149" s="1">
        <f t="shared" si="12"/>
        <v>260779.28571428571</v>
      </c>
      <c r="Q149" s="1">
        <f t="shared" si="13"/>
        <v>260779.28571428574</v>
      </c>
      <c r="R149" s="1">
        <f t="shared" si="14"/>
        <v>260779.28571428574</v>
      </c>
    </row>
    <row r="150" spans="1:18" x14ac:dyDescent="0.3">
      <c r="A150" t="s">
        <v>18</v>
      </c>
      <c r="B150" t="s">
        <v>19</v>
      </c>
      <c r="C150" t="s">
        <v>112</v>
      </c>
      <c r="D150" t="s">
        <v>113</v>
      </c>
      <c r="E150" t="s">
        <v>44</v>
      </c>
      <c r="F150" t="s">
        <v>60</v>
      </c>
      <c r="G150" s="1">
        <v>0</v>
      </c>
      <c r="H150" s="1">
        <v>0</v>
      </c>
      <c r="I150" s="1">
        <v>1050000</v>
      </c>
      <c r="J150" s="1">
        <v>0</v>
      </c>
      <c r="K150" s="1">
        <v>0</v>
      </c>
      <c r="L150" s="1">
        <v>0</v>
      </c>
      <c r="M150" s="1">
        <v>0</v>
      </c>
      <c r="N150" s="1">
        <f t="shared" si="10"/>
        <v>150000</v>
      </c>
      <c r="O150" s="1">
        <f t="shared" si="11"/>
        <v>150000</v>
      </c>
      <c r="P150" s="1">
        <f t="shared" si="12"/>
        <v>150000</v>
      </c>
      <c r="Q150" s="1">
        <f t="shared" si="13"/>
        <v>150000</v>
      </c>
      <c r="R150" s="1">
        <f t="shared" si="14"/>
        <v>150000</v>
      </c>
    </row>
    <row r="151" spans="1:18" x14ac:dyDescent="0.3">
      <c r="A151" t="s">
        <v>18</v>
      </c>
      <c r="B151" t="s">
        <v>19</v>
      </c>
      <c r="C151" t="s">
        <v>112</v>
      </c>
      <c r="D151" t="s">
        <v>113</v>
      </c>
      <c r="E151" t="s">
        <v>44</v>
      </c>
      <c r="F151" t="s">
        <v>45</v>
      </c>
      <c r="G151" s="1">
        <v>0</v>
      </c>
      <c r="H151" s="1">
        <v>0</v>
      </c>
      <c r="I151" s="1">
        <v>17637</v>
      </c>
      <c r="J151" s="1">
        <v>11200</v>
      </c>
      <c r="K151" s="1">
        <v>0</v>
      </c>
      <c r="L151" s="1">
        <v>17600</v>
      </c>
      <c r="M151" s="1">
        <v>758160</v>
      </c>
      <c r="N151" s="1">
        <f t="shared" si="10"/>
        <v>114942.42857142857</v>
      </c>
      <c r="O151" s="1">
        <f t="shared" si="11"/>
        <v>114942.42857142857</v>
      </c>
      <c r="P151" s="1">
        <f t="shared" si="12"/>
        <v>114942.42857142857</v>
      </c>
      <c r="Q151" s="1">
        <f t="shared" si="13"/>
        <v>114942.42857142857</v>
      </c>
      <c r="R151" s="1">
        <f t="shared" si="14"/>
        <v>114942.42857142858</v>
      </c>
    </row>
    <row r="152" spans="1:18" x14ac:dyDescent="0.3">
      <c r="A152" t="s">
        <v>18</v>
      </c>
      <c r="B152" t="s">
        <v>19</v>
      </c>
      <c r="C152" t="s">
        <v>112</v>
      </c>
      <c r="D152" t="s">
        <v>113</v>
      </c>
      <c r="E152" t="s">
        <v>46</v>
      </c>
      <c r="F152" t="s">
        <v>61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f t="shared" si="10"/>
        <v>0</v>
      </c>
      <c r="O152" s="1">
        <f t="shared" si="11"/>
        <v>0</v>
      </c>
      <c r="P152" s="1">
        <f t="shared" si="12"/>
        <v>0</v>
      </c>
      <c r="Q152" s="1">
        <f t="shared" si="13"/>
        <v>0</v>
      </c>
      <c r="R152" s="1">
        <f t="shared" si="14"/>
        <v>0</v>
      </c>
    </row>
    <row r="153" spans="1:18" x14ac:dyDescent="0.3">
      <c r="A153" t="s">
        <v>18</v>
      </c>
      <c r="B153" t="s">
        <v>19</v>
      </c>
      <c r="C153" t="s">
        <v>112</v>
      </c>
      <c r="D153" t="s">
        <v>113</v>
      </c>
      <c r="E153" t="s">
        <v>46</v>
      </c>
      <c r="F153" t="s">
        <v>47</v>
      </c>
      <c r="G153" s="1">
        <v>113420</v>
      </c>
      <c r="H153" s="1">
        <v>0</v>
      </c>
      <c r="I153" s="1">
        <v>64900</v>
      </c>
      <c r="J153" s="1">
        <v>0</v>
      </c>
      <c r="K153" s="1">
        <v>0</v>
      </c>
      <c r="L153" s="1">
        <v>0</v>
      </c>
      <c r="M153" s="1">
        <v>0</v>
      </c>
      <c r="N153" s="1">
        <f t="shared" si="10"/>
        <v>25474.285714285714</v>
      </c>
      <c r="O153" s="1">
        <f t="shared" si="11"/>
        <v>25474.285714285714</v>
      </c>
      <c r="P153" s="1">
        <f t="shared" si="12"/>
        <v>25474.285714285714</v>
      </c>
      <c r="Q153" s="1">
        <f t="shared" si="13"/>
        <v>25474.285714285714</v>
      </c>
      <c r="R153" s="1">
        <f t="shared" si="14"/>
        <v>25474.285714285714</v>
      </c>
    </row>
    <row r="154" spans="1:18" x14ac:dyDescent="0.3">
      <c r="A154" t="s">
        <v>18</v>
      </c>
      <c r="B154" t="s">
        <v>19</v>
      </c>
      <c r="C154" t="s">
        <v>112</v>
      </c>
      <c r="D154" t="s">
        <v>113</v>
      </c>
      <c r="E154" t="s">
        <v>97</v>
      </c>
      <c r="F154" t="s">
        <v>98</v>
      </c>
      <c r="G154" s="1">
        <v>0</v>
      </c>
      <c r="H154" s="1">
        <v>0</v>
      </c>
      <c r="I154" s="1">
        <v>0</v>
      </c>
      <c r="J154" s="1">
        <v>115455</v>
      </c>
      <c r="K154" s="1">
        <v>0</v>
      </c>
      <c r="L154" s="1">
        <v>44546</v>
      </c>
      <c r="M154" s="1">
        <v>429551</v>
      </c>
      <c r="N154" s="1">
        <f t="shared" si="10"/>
        <v>84221.71428571429</v>
      </c>
      <c r="O154" s="1">
        <f t="shared" si="11"/>
        <v>84221.71428571429</v>
      </c>
      <c r="P154" s="1">
        <f t="shared" si="12"/>
        <v>84221.71428571429</v>
      </c>
      <c r="Q154" s="1">
        <f t="shared" si="13"/>
        <v>84221.71428571429</v>
      </c>
      <c r="R154" s="1">
        <f t="shared" si="14"/>
        <v>84221.714285714304</v>
      </c>
    </row>
    <row r="155" spans="1:18" x14ac:dyDescent="0.3">
      <c r="A155" t="s">
        <v>18</v>
      </c>
      <c r="B155" t="s">
        <v>19</v>
      </c>
      <c r="C155" t="s">
        <v>118</v>
      </c>
      <c r="D155" t="s">
        <v>119</v>
      </c>
      <c r="E155" t="s">
        <v>22</v>
      </c>
      <c r="F155" t="s">
        <v>23</v>
      </c>
      <c r="G155" s="1">
        <v>45001</v>
      </c>
      <c r="H155" s="1">
        <v>0</v>
      </c>
      <c r="I155" s="1">
        <v>20546</v>
      </c>
      <c r="J155" s="1">
        <v>11182</v>
      </c>
      <c r="K155" s="1">
        <v>10819</v>
      </c>
      <c r="L155" s="1">
        <v>18319</v>
      </c>
      <c r="M155" s="1">
        <v>79730</v>
      </c>
      <c r="N155" s="1">
        <f t="shared" si="10"/>
        <v>26513.857142857141</v>
      </c>
      <c r="O155" s="1">
        <f t="shared" si="11"/>
        <v>26513.857142857141</v>
      </c>
      <c r="P155" s="1">
        <f t="shared" si="12"/>
        <v>26513.857142857141</v>
      </c>
      <c r="Q155" s="1">
        <f t="shared" si="13"/>
        <v>26513.857142857141</v>
      </c>
      <c r="R155" s="1">
        <f t="shared" si="14"/>
        <v>26513.857142857145</v>
      </c>
    </row>
    <row r="156" spans="1:18" x14ac:dyDescent="0.3">
      <c r="A156" t="s">
        <v>18</v>
      </c>
      <c r="B156" t="s">
        <v>19</v>
      </c>
      <c r="C156" t="s">
        <v>118</v>
      </c>
      <c r="D156" t="s">
        <v>119</v>
      </c>
      <c r="E156" t="s">
        <v>22</v>
      </c>
      <c r="F156" t="s">
        <v>24</v>
      </c>
      <c r="G156" s="1">
        <v>0</v>
      </c>
      <c r="H156" s="1">
        <v>490463</v>
      </c>
      <c r="I156" s="1">
        <v>315820</v>
      </c>
      <c r="J156" s="1">
        <v>298819</v>
      </c>
      <c r="K156" s="1">
        <v>0</v>
      </c>
      <c r="L156" s="1">
        <v>404916</v>
      </c>
      <c r="M156" s="1">
        <v>336364</v>
      </c>
      <c r="N156" s="1">
        <f t="shared" si="10"/>
        <v>263768.85714285716</v>
      </c>
      <c r="O156" s="1">
        <f t="shared" si="11"/>
        <v>263768.85714285716</v>
      </c>
      <c r="P156" s="1">
        <f t="shared" si="12"/>
        <v>263768.85714285716</v>
      </c>
      <c r="Q156" s="1">
        <f t="shared" si="13"/>
        <v>263768.85714285716</v>
      </c>
      <c r="R156" s="1">
        <f t="shared" si="14"/>
        <v>263768.85714285722</v>
      </c>
    </row>
    <row r="157" spans="1:18" x14ac:dyDescent="0.3">
      <c r="A157" t="s">
        <v>18</v>
      </c>
      <c r="B157" t="s">
        <v>19</v>
      </c>
      <c r="C157" t="s">
        <v>118</v>
      </c>
      <c r="D157" t="s">
        <v>119</v>
      </c>
      <c r="E157" t="s">
        <v>22</v>
      </c>
      <c r="F157" t="s">
        <v>25</v>
      </c>
      <c r="G157" s="1">
        <v>54020</v>
      </c>
      <c r="H157" s="1">
        <v>54020</v>
      </c>
      <c r="I157" s="1">
        <v>54020</v>
      </c>
      <c r="J157" s="1">
        <v>56640</v>
      </c>
      <c r="K157" s="1">
        <v>58380</v>
      </c>
      <c r="L157" s="1">
        <v>58380</v>
      </c>
      <c r="M157" s="1">
        <v>59050</v>
      </c>
      <c r="N157" s="1">
        <f t="shared" si="10"/>
        <v>56358.571428571428</v>
      </c>
      <c r="O157" s="1">
        <f t="shared" si="11"/>
        <v>56358.571428571428</v>
      </c>
      <c r="P157" s="1">
        <f t="shared" si="12"/>
        <v>56358.571428571428</v>
      </c>
      <c r="Q157" s="1">
        <f t="shared" si="13"/>
        <v>56358.571428571435</v>
      </c>
      <c r="R157" s="1">
        <f t="shared" si="14"/>
        <v>56358.571428571435</v>
      </c>
    </row>
    <row r="158" spans="1:18" x14ac:dyDescent="0.3">
      <c r="A158" t="s">
        <v>18</v>
      </c>
      <c r="B158" t="s">
        <v>19</v>
      </c>
      <c r="C158" t="s">
        <v>118</v>
      </c>
      <c r="D158" t="s">
        <v>119</v>
      </c>
      <c r="E158" t="s">
        <v>22</v>
      </c>
      <c r="F158" t="s">
        <v>26</v>
      </c>
      <c r="G158" s="1">
        <v>0</v>
      </c>
      <c r="H158" s="1">
        <v>50000</v>
      </c>
      <c r="I158" s="1">
        <v>150000</v>
      </c>
      <c r="J158" s="1">
        <v>0</v>
      </c>
      <c r="K158" s="1">
        <v>0</v>
      </c>
      <c r="L158" s="1">
        <v>150000</v>
      </c>
      <c r="M158" s="1">
        <v>0</v>
      </c>
      <c r="N158" s="1">
        <f t="shared" si="10"/>
        <v>50000</v>
      </c>
      <c r="O158" s="1">
        <f t="shared" si="11"/>
        <v>50000</v>
      </c>
      <c r="P158" s="1">
        <f t="shared" si="12"/>
        <v>50000</v>
      </c>
      <c r="Q158" s="1">
        <f t="shared" si="13"/>
        <v>50000</v>
      </c>
      <c r="R158" s="1">
        <f t="shared" si="14"/>
        <v>50000</v>
      </c>
    </row>
    <row r="159" spans="1:18" x14ac:dyDescent="0.3">
      <c r="A159" t="s">
        <v>18</v>
      </c>
      <c r="B159" t="s">
        <v>19</v>
      </c>
      <c r="C159" t="s">
        <v>118</v>
      </c>
      <c r="D159" t="s">
        <v>119</v>
      </c>
      <c r="E159" t="s">
        <v>22</v>
      </c>
      <c r="F159" t="s">
        <v>27</v>
      </c>
      <c r="G159" s="1">
        <v>5090380</v>
      </c>
      <c r="H159" s="1">
        <v>4961360</v>
      </c>
      <c r="I159" s="1">
        <v>4961360</v>
      </c>
      <c r="J159" s="1">
        <v>5683920</v>
      </c>
      <c r="K159" s="1">
        <v>4686440</v>
      </c>
      <c r="L159" s="1">
        <v>4955810</v>
      </c>
      <c r="M159" s="1">
        <v>4891590</v>
      </c>
      <c r="N159" s="1">
        <f t="shared" si="10"/>
        <v>5032980</v>
      </c>
      <c r="O159" s="1">
        <f t="shared" si="11"/>
        <v>5032980</v>
      </c>
      <c r="P159" s="1">
        <f t="shared" si="12"/>
        <v>5032980</v>
      </c>
      <c r="Q159" s="1">
        <f t="shared" si="13"/>
        <v>5032980</v>
      </c>
      <c r="R159" s="1">
        <f t="shared" si="14"/>
        <v>5032980</v>
      </c>
    </row>
    <row r="160" spans="1:18" x14ac:dyDescent="0.3">
      <c r="A160" t="s">
        <v>18</v>
      </c>
      <c r="B160" t="s">
        <v>19</v>
      </c>
      <c r="C160" t="s">
        <v>118</v>
      </c>
      <c r="D160" t="s">
        <v>119</v>
      </c>
      <c r="E160" t="s">
        <v>28</v>
      </c>
      <c r="F160" t="s">
        <v>29</v>
      </c>
      <c r="G160" s="1">
        <v>73100</v>
      </c>
      <c r="H160" s="1">
        <v>0</v>
      </c>
      <c r="I160" s="1">
        <v>179679</v>
      </c>
      <c r="J160" s="1">
        <v>608372</v>
      </c>
      <c r="K160" s="1">
        <v>90138</v>
      </c>
      <c r="L160" s="1">
        <v>35072</v>
      </c>
      <c r="M160" s="1">
        <v>23200</v>
      </c>
      <c r="N160" s="1">
        <f t="shared" si="10"/>
        <v>144223</v>
      </c>
      <c r="O160" s="1">
        <f t="shared" si="11"/>
        <v>144223</v>
      </c>
      <c r="P160" s="1">
        <f t="shared" si="12"/>
        <v>144223</v>
      </c>
      <c r="Q160" s="1">
        <f t="shared" si="13"/>
        <v>144223</v>
      </c>
      <c r="R160" s="1">
        <f t="shared" si="14"/>
        <v>144223</v>
      </c>
    </row>
    <row r="161" spans="1:18" x14ac:dyDescent="0.3">
      <c r="A161" t="s">
        <v>18</v>
      </c>
      <c r="B161" t="s">
        <v>19</v>
      </c>
      <c r="C161" t="s">
        <v>118</v>
      </c>
      <c r="D161" t="s">
        <v>119</v>
      </c>
      <c r="E161" t="s">
        <v>28</v>
      </c>
      <c r="F161" t="s">
        <v>30</v>
      </c>
      <c r="G161" s="1">
        <v>25260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f t="shared" si="10"/>
        <v>3608.5714285714284</v>
      </c>
      <c r="O161" s="1">
        <f t="shared" si="11"/>
        <v>3608.5714285714284</v>
      </c>
      <c r="P161" s="1">
        <f t="shared" si="12"/>
        <v>3608.5714285714284</v>
      </c>
      <c r="Q161" s="1">
        <f t="shared" si="13"/>
        <v>3608.5714285714284</v>
      </c>
      <c r="R161" s="1">
        <f t="shared" si="14"/>
        <v>3608.571428571428</v>
      </c>
    </row>
    <row r="162" spans="1:18" x14ac:dyDescent="0.3">
      <c r="A162" t="s">
        <v>18</v>
      </c>
      <c r="B162" t="s">
        <v>19</v>
      </c>
      <c r="C162" t="s">
        <v>118</v>
      </c>
      <c r="D162" t="s">
        <v>119</v>
      </c>
      <c r="E162" t="s">
        <v>31</v>
      </c>
      <c r="F162" t="s">
        <v>33</v>
      </c>
      <c r="G162" s="1">
        <v>4059180</v>
      </c>
      <c r="H162" s="1">
        <v>4059180</v>
      </c>
      <c r="I162" s="1">
        <v>4059180</v>
      </c>
      <c r="J162" s="1">
        <v>4059180</v>
      </c>
      <c r="K162" s="1">
        <v>4059180</v>
      </c>
      <c r="L162" s="1">
        <v>4059180</v>
      </c>
      <c r="M162" s="1">
        <v>4059180</v>
      </c>
      <c r="N162" s="1">
        <f t="shared" si="10"/>
        <v>4059180</v>
      </c>
      <c r="O162" s="1">
        <f t="shared" si="11"/>
        <v>4059180</v>
      </c>
      <c r="P162" s="1">
        <f t="shared" si="12"/>
        <v>4059180</v>
      </c>
      <c r="Q162" s="1">
        <f t="shared" si="13"/>
        <v>4059180</v>
      </c>
      <c r="R162" s="1">
        <f t="shared" si="14"/>
        <v>4059180</v>
      </c>
    </row>
    <row r="163" spans="1:18" x14ac:dyDescent="0.3">
      <c r="A163" t="s">
        <v>18</v>
      </c>
      <c r="B163" t="s">
        <v>19</v>
      </c>
      <c r="C163" t="s">
        <v>118</v>
      </c>
      <c r="D163" t="s">
        <v>119</v>
      </c>
      <c r="E163" t="s">
        <v>34</v>
      </c>
      <c r="F163" t="s">
        <v>35</v>
      </c>
      <c r="G163" s="1">
        <v>20551800</v>
      </c>
      <c r="H163" s="1">
        <v>0</v>
      </c>
      <c r="I163" s="1">
        <v>720000</v>
      </c>
      <c r="J163" s="1">
        <v>0</v>
      </c>
      <c r="K163" s="1">
        <v>500000</v>
      </c>
      <c r="L163" s="1">
        <v>5375500</v>
      </c>
      <c r="M163" s="1">
        <v>0</v>
      </c>
      <c r="N163" s="1">
        <f t="shared" si="10"/>
        <v>3878185.7142857141</v>
      </c>
      <c r="O163" s="1">
        <v>0</v>
      </c>
      <c r="P163" s="1">
        <f t="shared" si="12"/>
        <v>3447276.1904761903</v>
      </c>
      <c r="Q163" s="1">
        <v>0</v>
      </c>
      <c r="R163" s="1">
        <f t="shared" si="14"/>
        <v>3133887.4458874459</v>
      </c>
    </row>
    <row r="164" spans="1:18" x14ac:dyDescent="0.3">
      <c r="A164" t="s">
        <v>18</v>
      </c>
      <c r="B164" t="s">
        <v>19</v>
      </c>
      <c r="C164" t="s">
        <v>118</v>
      </c>
      <c r="D164" t="s">
        <v>119</v>
      </c>
      <c r="E164" t="s">
        <v>37</v>
      </c>
      <c r="F164" t="s">
        <v>38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3583488</v>
      </c>
      <c r="N164" s="1">
        <f t="shared" si="10"/>
        <v>511926.85714285716</v>
      </c>
      <c r="O164" s="1">
        <f t="shared" si="11"/>
        <v>511926.85714285716</v>
      </c>
      <c r="P164" s="1">
        <f t="shared" si="12"/>
        <v>511926.85714285716</v>
      </c>
      <c r="Q164" s="1">
        <f t="shared" si="13"/>
        <v>511926.85714285716</v>
      </c>
      <c r="R164" s="1">
        <f t="shared" si="14"/>
        <v>511926.85714285722</v>
      </c>
    </row>
    <row r="165" spans="1:18" x14ac:dyDescent="0.3">
      <c r="A165" t="s">
        <v>18</v>
      </c>
      <c r="B165" t="s">
        <v>19</v>
      </c>
      <c r="C165" t="s">
        <v>118</v>
      </c>
      <c r="D165" t="s">
        <v>119</v>
      </c>
      <c r="E165" t="s">
        <v>37</v>
      </c>
      <c r="F165" t="s">
        <v>40</v>
      </c>
      <c r="G165" s="1">
        <v>795000</v>
      </c>
      <c r="H165" s="1">
        <v>0</v>
      </c>
      <c r="I165" s="1">
        <v>2754000</v>
      </c>
      <c r="J165" s="1">
        <v>0</v>
      </c>
      <c r="K165" s="1">
        <v>8608000</v>
      </c>
      <c r="L165" s="1">
        <v>1990000</v>
      </c>
      <c r="M165" s="1">
        <v>0</v>
      </c>
      <c r="N165" s="1">
        <f t="shared" si="10"/>
        <v>2021000</v>
      </c>
      <c r="O165" s="1">
        <f t="shared" si="11"/>
        <v>2021000</v>
      </c>
      <c r="P165" s="1">
        <f t="shared" si="12"/>
        <v>2021000</v>
      </c>
      <c r="Q165" s="1">
        <f t="shared" si="13"/>
        <v>2021000</v>
      </c>
      <c r="R165" s="1">
        <f t="shared" si="14"/>
        <v>2021000</v>
      </c>
    </row>
    <row r="166" spans="1:18" x14ac:dyDescent="0.3">
      <c r="A166" t="s">
        <v>18</v>
      </c>
      <c r="B166" t="s">
        <v>19</v>
      </c>
      <c r="C166" t="s">
        <v>118</v>
      </c>
      <c r="D166" t="s">
        <v>119</v>
      </c>
      <c r="E166" t="s">
        <v>42</v>
      </c>
      <c r="F166" t="s">
        <v>43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500000</v>
      </c>
      <c r="M166" s="1">
        <v>0</v>
      </c>
      <c r="N166" s="1">
        <f t="shared" si="10"/>
        <v>71428.571428571435</v>
      </c>
      <c r="O166" s="1">
        <f t="shared" si="11"/>
        <v>71428.571428571435</v>
      </c>
      <c r="P166" s="1">
        <f t="shared" si="12"/>
        <v>71428.571428571435</v>
      </c>
      <c r="Q166" s="1">
        <f t="shared" si="13"/>
        <v>71428.571428571449</v>
      </c>
      <c r="R166" s="1">
        <f t="shared" si="14"/>
        <v>71428.571428571449</v>
      </c>
    </row>
    <row r="167" spans="1:18" x14ac:dyDescent="0.3">
      <c r="A167" t="s">
        <v>18</v>
      </c>
      <c r="B167" t="s">
        <v>19</v>
      </c>
      <c r="C167" t="s">
        <v>118</v>
      </c>
      <c r="D167" t="s">
        <v>119</v>
      </c>
      <c r="E167" t="s">
        <v>44</v>
      </c>
      <c r="F167" t="s">
        <v>60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f t="shared" si="10"/>
        <v>0</v>
      </c>
      <c r="O167" s="1">
        <f t="shared" si="11"/>
        <v>0</v>
      </c>
      <c r="P167" s="1">
        <f t="shared" si="12"/>
        <v>0</v>
      </c>
      <c r="Q167" s="1">
        <f t="shared" si="13"/>
        <v>0</v>
      </c>
      <c r="R167" s="1">
        <f t="shared" si="14"/>
        <v>0</v>
      </c>
    </row>
    <row r="168" spans="1:18" x14ac:dyDescent="0.3">
      <c r="A168" t="s">
        <v>18</v>
      </c>
      <c r="B168" t="s">
        <v>19</v>
      </c>
      <c r="C168" t="s">
        <v>118</v>
      </c>
      <c r="D168" t="s">
        <v>119</v>
      </c>
      <c r="E168" t="s">
        <v>44</v>
      </c>
      <c r="F168" t="s">
        <v>45</v>
      </c>
      <c r="G168" s="1">
        <v>0</v>
      </c>
      <c r="H168" s="1">
        <v>134400</v>
      </c>
      <c r="I168" s="1">
        <v>0</v>
      </c>
      <c r="J168" s="1">
        <v>0</v>
      </c>
      <c r="K168" s="1">
        <v>0</v>
      </c>
      <c r="L168" s="1">
        <v>64040</v>
      </c>
      <c r="M168" s="1">
        <v>0</v>
      </c>
      <c r="N168" s="1">
        <f t="shared" si="10"/>
        <v>28348.571428571428</v>
      </c>
      <c r="O168" s="1">
        <f t="shared" si="11"/>
        <v>28348.571428571428</v>
      </c>
      <c r="P168" s="1">
        <f t="shared" si="12"/>
        <v>28348.571428571428</v>
      </c>
      <c r="Q168" s="1">
        <f t="shared" si="13"/>
        <v>28348.571428571428</v>
      </c>
      <c r="R168" s="1">
        <f t="shared" si="14"/>
        <v>28348.571428571424</v>
      </c>
    </row>
    <row r="169" spans="1:18" x14ac:dyDescent="0.3">
      <c r="A169" t="s">
        <v>18</v>
      </c>
      <c r="B169" t="s">
        <v>19</v>
      </c>
      <c r="C169" t="s">
        <v>118</v>
      </c>
      <c r="D169" t="s">
        <v>119</v>
      </c>
      <c r="E169" t="s">
        <v>46</v>
      </c>
      <c r="F169" t="s">
        <v>47</v>
      </c>
      <c r="G169" s="1">
        <v>0</v>
      </c>
      <c r="H169" s="1">
        <v>0</v>
      </c>
      <c r="I169" s="1">
        <v>1152000</v>
      </c>
      <c r="J169" s="1">
        <v>0</v>
      </c>
      <c r="K169" s="1">
        <v>0</v>
      </c>
      <c r="L169" s="1">
        <v>1242000</v>
      </c>
      <c r="M169" s="1">
        <v>0</v>
      </c>
      <c r="N169" s="1">
        <f t="shared" si="10"/>
        <v>342000</v>
      </c>
      <c r="O169" s="1">
        <f t="shared" si="11"/>
        <v>342000</v>
      </c>
      <c r="P169" s="1">
        <f t="shared" si="12"/>
        <v>342000</v>
      </c>
      <c r="Q169" s="1">
        <f t="shared" si="13"/>
        <v>342000</v>
      </c>
      <c r="R169" s="1">
        <f t="shared" si="14"/>
        <v>342000</v>
      </c>
    </row>
    <row r="170" spans="1:18" x14ac:dyDescent="0.3">
      <c r="A170" t="s">
        <v>18</v>
      </c>
      <c r="B170" t="s">
        <v>19</v>
      </c>
      <c r="C170" t="s">
        <v>118</v>
      </c>
      <c r="D170" t="s">
        <v>119</v>
      </c>
      <c r="E170" t="s">
        <v>48</v>
      </c>
      <c r="F170" t="s">
        <v>49</v>
      </c>
      <c r="G170" s="1">
        <v>720000</v>
      </c>
      <c r="H170" s="1">
        <v>0</v>
      </c>
      <c r="I170" s="1">
        <v>0</v>
      </c>
      <c r="J170" s="1">
        <v>0</v>
      </c>
      <c r="K170" s="1">
        <v>0</v>
      </c>
      <c r="L170" s="1">
        <v>720000</v>
      </c>
      <c r="M170" s="1">
        <v>1080000</v>
      </c>
      <c r="N170" s="1">
        <f t="shared" si="10"/>
        <v>360000</v>
      </c>
      <c r="O170" s="1">
        <f t="shared" si="11"/>
        <v>360000</v>
      </c>
      <c r="P170" s="1">
        <f t="shared" si="12"/>
        <v>360000</v>
      </c>
      <c r="Q170" s="1">
        <f t="shared" si="13"/>
        <v>360000</v>
      </c>
      <c r="R170" s="1">
        <f t="shared" si="14"/>
        <v>360000</v>
      </c>
    </row>
    <row r="171" spans="1:18" x14ac:dyDescent="0.3">
      <c r="A171" t="s">
        <v>18</v>
      </c>
      <c r="B171" t="s">
        <v>19</v>
      </c>
      <c r="C171" t="s">
        <v>118</v>
      </c>
      <c r="D171" t="s">
        <v>119</v>
      </c>
      <c r="E171" t="s">
        <v>97</v>
      </c>
      <c r="F171" t="s">
        <v>98</v>
      </c>
      <c r="G171" s="1">
        <v>0</v>
      </c>
      <c r="H171" s="1">
        <v>0</v>
      </c>
      <c r="I171" s="1">
        <v>112728</v>
      </c>
      <c r="J171" s="1">
        <v>122728</v>
      </c>
      <c r="K171" s="1">
        <v>0</v>
      </c>
      <c r="L171" s="1">
        <v>0</v>
      </c>
      <c r="M171" s="1">
        <v>0</v>
      </c>
      <c r="N171" s="1">
        <f t="shared" si="10"/>
        <v>33636.571428571428</v>
      </c>
      <c r="O171" s="1">
        <f t="shared" si="11"/>
        <v>33636.571428571428</v>
      </c>
      <c r="P171" s="1">
        <f t="shared" si="12"/>
        <v>33636.571428571428</v>
      </c>
      <c r="Q171" s="1">
        <f t="shared" si="13"/>
        <v>33636.571428571428</v>
      </c>
      <c r="R171" s="1">
        <f t="shared" si="14"/>
        <v>33636.571428571428</v>
      </c>
    </row>
    <row r="172" spans="1:18" x14ac:dyDescent="0.3">
      <c r="G172" s="1"/>
      <c r="H172" s="1"/>
      <c r="I172" s="1"/>
      <c r="J172" s="1"/>
      <c r="K172" s="1"/>
      <c r="L172" s="1"/>
      <c r="M172" s="1"/>
      <c r="R17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2026-08-23T23:51:52Z</dcterms:created>
  <dcterms:modified xsi:type="dcterms:W3CDTF">2026-08-24T00:59:23Z</dcterms:modified>
</cp:coreProperties>
</file>